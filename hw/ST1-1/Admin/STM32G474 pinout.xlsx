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PS1-1\Admin\"/>
    </mc:Choice>
  </mc:AlternateContent>
  <xr:revisionPtr revIDLastSave="0" documentId="8_{C36FA24D-5C03-4004-9F8A-5141B9441838}" xr6:coauthVersionLast="47" xr6:coauthVersionMax="47" xr10:uidLastSave="{00000000-0000-0000-0000-000000000000}"/>
  <bookViews>
    <workbookView xWindow="4245" yWindow="4245" windowWidth="21600" windowHeight="12495" activeTab="4" xr2:uid="{21A4FC59-0757-4566-8791-AF29D3D9F0F9}"/>
  </bookViews>
  <sheets>
    <sheet name="Functions" sheetId="3" r:id="rId1"/>
    <sheet name="Timer" sheetId="1" r:id="rId2"/>
    <sheet name="UART" sheetId="6" r:id="rId3"/>
    <sheet name="ADC index B" sheetId="2" r:id="rId4"/>
    <sheet name="ADC Index C" sheetId="7" r:id="rId5"/>
    <sheet name="Restricted GPIOs" sheetId="4" r:id="rId6"/>
    <sheet name="GPIOs QFP100" sheetId="5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7" l="1"/>
  <c r="K30" i="7"/>
  <c r="K9" i="7"/>
  <c r="E38" i="3"/>
  <c r="E47" i="3"/>
  <c r="K31" i="2"/>
  <c r="K30" i="2"/>
  <c r="K9" i="2"/>
  <c r="K10" i="2"/>
</calcChain>
</file>

<file path=xl/sharedStrings.xml><?xml version="1.0" encoding="utf-8"?>
<sst xmlns="http://schemas.openxmlformats.org/spreadsheetml/2006/main" count="856" uniqueCount="284">
  <si>
    <t>Timer overview</t>
  </si>
  <si>
    <t>Length</t>
  </si>
  <si>
    <t>HRTIM</t>
  </si>
  <si>
    <t>Timer</t>
  </si>
  <si>
    <t>High resolution timer</t>
  </si>
  <si>
    <t>Advanced motor control</t>
  </si>
  <si>
    <t>General-purpose</t>
  </si>
  <si>
    <t>TIM1, TIM8, TIM20</t>
  </si>
  <si>
    <t>TIM2, TIM5</t>
  </si>
  <si>
    <t>TIM3, TIM4</t>
  </si>
  <si>
    <t>TIM15</t>
  </si>
  <si>
    <t>Timer Type</t>
  </si>
  <si>
    <t>TIM16, TIM17</t>
  </si>
  <si>
    <t>Basic</t>
  </si>
  <si>
    <t>TIM6, TIM7</t>
  </si>
  <si>
    <t>Counter type</t>
  </si>
  <si>
    <t>Up</t>
  </si>
  <si>
    <t>Up, down, Up/down</t>
  </si>
  <si>
    <t>Prescaler</t>
  </si>
  <si>
    <t>1, 2, 4, (x2, x4, x8, x16, x32 with DLL)</t>
  </si>
  <si>
    <t>Integer between 1 and 65536</t>
  </si>
  <si>
    <t>Capture / compare channels</t>
  </si>
  <si>
    <t>Complementary outputs</t>
  </si>
  <si>
    <t>Encoder</t>
  </si>
  <si>
    <t>No</t>
  </si>
  <si>
    <t>Yes</t>
  </si>
  <si>
    <t xml:space="preserve">ADC </t>
  </si>
  <si>
    <t>Signal</t>
  </si>
  <si>
    <t>Speed</t>
  </si>
  <si>
    <t>V_IN</t>
  </si>
  <si>
    <t>V_HV</t>
  </si>
  <si>
    <t>Description</t>
  </si>
  <si>
    <t>V_TERM</t>
  </si>
  <si>
    <t>I_OUT</t>
  </si>
  <si>
    <t>V_OUT</t>
  </si>
  <si>
    <t>TEMP_CURRENT</t>
  </si>
  <si>
    <t>CONV_CTRL.TEMP_PRIM</t>
  </si>
  <si>
    <t>CONV_CTRL.TEMP_SEC</t>
  </si>
  <si>
    <t>CONV_CTRL.TEMP_TRAFO</t>
  </si>
  <si>
    <t>Slow</t>
  </si>
  <si>
    <t>Transformer temperature</t>
  </si>
  <si>
    <t>Secondary MOSFET temperature</t>
  </si>
  <si>
    <t>Primary MOSFET temperature</t>
  </si>
  <si>
    <t>Current controller temperature</t>
  </si>
  <si>
    <t>Input voltage</t>
  </si>
  <si>
    <t>Voltage mode</t>
  </si>
  <si>
    <t>Current mode</t>
  </si>
  <si>
    <t>Charging</t>
  </si>
  <si>
    <t>Isolation test</t>
  </si>
  <si>
    <t>BMS.I_BAT</t>
  </si>
  <si>
    <t>Fast</t>
  </si>
  <si>
    <t>Control</t>
  </si>
  <si>
    <t>Signal usage</t>
  </si>
  <si>
    <t>4W resistance</t>
  </si>
  <si>
    <t>Protection</t>
  </si>
  <si>
    <t>Voltmeter</t>
  </si>
  <si>
    <t>Battery current</t>
  </si>
  <si>
    <t>High-voltage DC-link voltage</t>
  </si>
  <si>
    <t>Output voltage (before fuse)</t>
  </si>
  <si>
    <t>Voltage on output terminals (unfused)</t>
  </si>
  <si>
    <t>Output current (high range)</t>
  </si>
  <si>
    <t>Feedforward</t>
  </si>
  <si>
    <t>Function</t>
  </si>
  <si>
    <t>ADC</t>
  </si>
  <si>
    <t>SPI</t>
  </si>
  <si>
    <t>Pin type</t>
  </si>
  <si>
    <t>Pin quantity</t>
  </si>
  <si>
    <t>Display</t>
  </si>
  <si>
    <t>Flash</t>
  </si>
  <si>
    <t>QSPI</t>
  </si>
  <si>
    <t>Assigned</t>
  </si>
  <si>
    <t>I2C</t>
  </si>
  <si>
    <t>Remarks</t>
  </si>
  <si>
    <t>One channel per bridge</t>
  </si>
  <si>
    <t>TIM</t>
  </si>
  <si>
    <t>Necessary</t>
  </si>
  <si>
    <t>GPIO</t>
  </si>
  <si>
    <t>Serial interface</t>
  </si>
  <si>
    <t>USART</t>
  </si>
  <si>
    <t>IrDA</t>
  </si>
  <si>
    <t>USART1, 2, 3, 4, or 5</t>
  </si>
  <si>
    <t>BMS</t>
  </si>
  <si>
    <t>BMS communication</t>
  </si>
  <si>
    <t>BMS wakeup</t>
  </si>
  <si>
    <t>Also connects to EEPROM</t>
  </si>
  <si>
    <t>I_BAT</t>
  </si>
  <si>
    <t>On / off controller</t>
  </si>
  <si>
    <t>On request</t>
  </si>
  <si>
    <t>Converter</t>
  </si>
  <si>
    <t>Discharge</t>
  </si>
  <si>
    <t>Converter Temperature</t>
  </si>
  <si>
    <t>Number of channels might change</t>
  </si>
  <si>
    <t>Enable</t>
  </si>
  <si>
    <t>?</t>
  </si>
  <si>
    <t xml:space="preserve">Converter enable still necessary? </t>
  </si>
  <si>
    <t>High voltage converter</t>
  </si>
  <si>
    <t>Flyback PWM</t>
  </si>
  <si>
    <t>Buck-Boost PWM</t>
  </si>
  <si>
    <t>Flyback enable still necessary?</t>
  </si>
  <si>
    <t>Overvoltage protection</t>
  </si>
  <si>
    <t>OVP latch</t>
  </si>
  <si>
    <t>OVP reset</t>
  </si>
  <si>
    <t>Current controller</t>
  </si>
  <si>
    <t>I_1A_REF</t>
  </si>
  <si>
    <t>DAC</t>
  </si>
  <si>
    <t>Shunt enable</t>
  </si>
  <si>
    <t>Shunt iso enable</t>
  </si>
  <si>
    <t>Controller temperature</t>
  </si>
  <si>
    <t>Output terminal</t>
  </si>
  <si>
    <t>This measurement does not cover the full output voltage range</t>
  </si>
  <si>
    <t>OUT_SEL_HV</t>
  </si>
  <si>
    <t>OUT_SEL_ISO</t>
  </si>
  <si>
    <t>Measurement</t>
  </si>
  <si>
    <t>ADC interface</t>
  </si>
  <si>
    <t>ADC control</t>
  </si>
  <si>
    <t>User interface</t>
  </si>
  <si>
    <t>Interface</t>
  </si>
  <si>
    <t>Button</t>
  </si>
  <si>
    <t>UI present</t>
  </si>
  <si>
    <t>Microcontroller</t>
  </si>
  <si>
    <t>Infrared interface</t>
  </si>
  <si>
    <t>Programming interface</t>
  </si>
  <si>
    <t>SWD / JTAG</t>
  </si>
  <si>
    <t>EEPROM</t>
  </si>
  <si>
    <t>Interface shared with BMS</t>
  </si>
  <si>
    <t>Reset</t>
  </si>
  <si>
    <t>I_ISO</t>
  </si>
  <si>
    <t>Isolation measurement current</t>
  </si>
  <si>
    <t>3, 4, 5</t>
  </si>
  <si>
    <t>V_TS</t>
  </si>
  <si>
    <t>Internal temperature</t>
  </si>
  <si>
    <t>Reference voltage</t>
  </si>
  <si>
    <t>Reference Voltage</t>
  </si>
  <si>
    <t>1, 5</t>
  </si>
  <si>
    <t>1, 3, 4, 5</t>
  </si>
  <si>
    <t>V_Refint</t>
  </si>
  <si>
    <r>
      <t xml:space="preserve">4, </t>
    </r>
    <r>
      <rPr>
        <b/>
        <sz val="11"/>
        <color theme="1"/>
        <rFont val="Aptos Narrow"/>
        <family val="2"/>
        <scheme val="minor"/>
      </rPr>
      <t>5</t>
    </r>
  </si>
  <si>
    <t>ADC usage</t>
  </si>
  <si>
    <r>
      <t xml:space="preserve">3, 4, </t>
    </r>
    <r>
      <rPr>
        <b/>
        <sz val="11"/>
        <color theme="1"/>
        <rFont val="Aptos Narrow"/>
        <family val="2"/>
        <scheme val="minor"/>
      </rPr>
      <t>5</t>
    </r>
  </si>
  <si>
    <t>Validate?</t>
  </si>
  <si>
    <t>Ampmeter</t>
  </si>
  <si>
    <t>Channel</t>
  </si>
  <si>
    <t>V_3V3</t>
  </si>
  <si>
    <t>V_5V</t>
  </si>
  <si>
    <t>V_15V</t>
  </si>
  <si>
    <t>V_3V3_A</t>
  </si>
  <si>
    <t>Supply voltage 3.3V</t>
  </si>
  <si>
    <t>Analog supply voltage 3.3V</t>
  </si>
  <si>
    <t>Supply voltage 5V</t>
  </si>
  <si>
    <t>Supply voltage 15V</t>
  </si>
  <si>
    <t>Supervision</t>
  </si>
  <si>
    <t>6..12, 14..16</t>
  </si>
  <si>
    <t>16 (ADC1), 4 (ADC5)</t>
  </si>
  <si>
    <t>PB10</t>
  </si>
  <si>
    <t>PB11</t>
  </si>
  <si>
    <t>PB13</t>
  </si>
  <si>
    <t>PB14</t>
  </si>
  <si>
    <t>PD14</t>
  </si>
  <si>
    <t>Affected Revision</t>
  </si>
  <si>
    <t>All</t>
  </si>
  <si>
    <t>All except X</t>
  </si>
  <si>
    <t>Restriction</t>
  </si>
  <si>
    <t>No toggling while using VREFBUF</t>
  </si>
  <si>
    <t>PA3</t>
  </si>
  <si>
    <t>PA5</t>
  </si>
  <si>
    <t>PB2</t>
  </si>
  <si>
    <t>PB15</t>
  </si>
  <si>
    <t>PA1</t>
  </si>
  <si>
    <t>No fast-edge toggle when using OPAMP in non-inverting PGA mode</t>
  </si>
  <si>
    <t>Relevant for application</t>
  </si>
  <si>
    <t>Errata reference</t>
  </si>
  <si>
    <t>2.10.1</t>
  </si>
  <si>
    <t>2.8.1</t>
  </si>
  <si>
    <t>PC13</t>
  </si>
  <si>
    <t>2.2.9</t>
  </si>
  <si>
    <t>No toggling when LSE is used on QFP packages</t>
  </si>
  <si>
    <t>Pin</t>
  </si>
  <si>
    <t>PE2</t>
  </si>
  <si>
    <t>PE3</t>
  </si>
  <si>
    <t>PE4</t>
  </si>
  <si>
    <t>PE5</t>
  </si>
  <si>
    <t>PE6</t>
  </si>
  <si>
    <t>VBAT</t>
  </si>
  <si>
    <t>PF9</t>
  </si>
  <si>
    <t>PF10</t>
  </si>
  <si>
    <t>PF0-OSC_IN</t>
  </si>
  <si>
    <t>PC14-OSC32_IN</t>
  </si>
  <si>
    <t>PC15-OSC32_OUT</t>
  </si>
  <si>
    <t>PF1-OSC_OUT</t>
  </si>
  <si>
    <t>PG10-NRST</t>
  </si>
  <si>
    <t>PC0</t>
  </si>
  <si>
    <t>PC1</t>
  </si>
  <si>
    <t>PC2</t>
  </si>
  <si>
    <t>PC3</t>
  </si>
  <si>
    <t>PF2</t>
  </si>
  <si>
    <t>PA0</t>
  </si>
  <si>
    <t>PA2</t>
  </si>
  <si>
    <t>VSS</t>
  </si>
  <si>
    <t>VDD</t>
  </si>
  <si>
    <t>PA4</t>
  </si>
  <si>
    <t>PA6</t>
  </si>
  <si>
    <t>PA7</t>
  </si>
  <si>
    <t>PC4</t>
  </si>
  <si>
    <t>PC5</t>
  </si>
  <si>
    <t>PB0</t>
  </si>
  <si>
    <t>PB1</t>
  </si>
  <si>
    <t>VSSA</t>
  </si>
  <si>
    <t>VREF+</t>
  </si>
  <si>
    <t>VDDA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</si>
  <si>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</si>
  <si>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</si>
  <si>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</si>
  <si>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</si>
  <si>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</si>
  <si>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</si>
  <si>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</si>
  <si>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</si>
  <si>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</si>
  <si>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PB12</t>
  </si>
  <si>
    <t>PD8</t>
  </si>
  <si>
    <t>PD9</t>
  </si>
  <si>
    <t>PD10</t>
  </si>
  <si>
    <t>PD11</t>
  </si>
  <si>
    <t>PD12</t>
  </si>
  <si>
    <t>PD13</t>
  </si>
  <si>
    <t>PD15</t>
  </si>
  <si>
    <t>PC6</t>
  </si>
  <si>
    <t>PC7</t>
  </si>
  <si>
    <t>PC8</t>
  </si>
  <si>
    <t>PC9</t>
  </si>
  <si>
    <t>PA8</t>
  </si>
  <si>
    <t>PA9</t>
  </si>
  <si>
    <t>PA10</t>
  </si>
  <si>
    <t>PA11</t>
  </si>
  <si>
    <t>PA12</t>
  </si>
  <si>
    <t>PA13</t>
  </si>
  <si>
    <t>PA14</t>
  </si>
  <si>
    <t>PA15</t>
  </si>
  <si>
    <t>PC10</t>
  </si>
  <si>
    <t>PC11</t>
  </si>
  <si>
    <t>PC12</t>
  </si>
  <si>
    <t>PD0</t>
  </si>
  <si>
    <t>PD1</t>
  </si>
  <si>
    <t>PD2</t>
  </si>
  <si>
    <t>PD3</t>
  </si>
  <si>
    <t>PD4</t>
  </si>
  <si>
    <t>PD5</t>
  </si>
  <si>
    <t>PD6</t>
  </si>
  <si>
    <t>PD7</t>
  </si>
  <si>
    <t>PB3</t>
  </si>
  <si>
    <t>PB4</t>
  </si>
  <si>
    <t>PB5</t>
  </si>
  <si>
    <t>PB6</t>
  </si>
  <si>
    <t>PB7</t>
  </si>
  <si>
    <t>PB8-BOOT0</t>
  </si>
  <si>
    <t>PB89</t>
  </si>
  <si>
    <t>PE0</t>
  </si>
  <si>
    <t>PE1</t>
  </si>
  <si>
    <t>No toggling (LSE)</t>
  </si>
  <si>
    <t>No toggling (VREFBUF)</t>
  </si>
  <si>
    <t>V_VCC</t>
  </si>
  <si>
    <t>Supply voltage VCC</t>
  </si>
  <si>
    <t>TIM3 or 4</t>
  </si>
  <si>
    <t>shared with ADC1</t>
  </si>
  <si>
    <t>shared with ADC2</t>
  </si>
  <si>
    <t>UART3</t>
  </si>
  <si>
    <t>UART4</t>
  </si>
  <si>
    <t>UART5</t>
  </si>
  <si>
    <t>Available RX</t>
  </si>
  <si>
    <t>UART Module</t>
  </si>
  <si>
    <t>Available TX</t>
  </si>
  <si>
    <t>Blocked by SPI</t>
  </si>
  <si>
    <t>PB8</t>
  </si>
  <si>
    <t>USART2</t>
  </si>
  <si>
    <t>PD6, (PB4)</t>
  </si>
  <si>
    <t>PC5, PE1, (PB7)</t>
  </si>
  <si>
    <t>USART1</t>
  </si>
  <si>
    <t>PC4, PE0, (PB6)</t>
  </si>
  <si>
    <t>PB9</t>
  </si>
  <si>
    <t>Pin changed during layouting</t>
  </si>
  <si>
    <t>Change to</t>
  </si>
  <si>
    <t>Change to ADC2 channel 5</t>
  </si>
  <si>
    <t>Change to ADC2 channel 2/4</t>
  </si>
  <si>
    <t>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</si>
</sst>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</cellXfs>
  <cellStyles count="1">
    <cellStyle name="Standard" xfId="0" builtinId="0"/>
  </cellStyles>
  <dxfs count="30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A1D6-7A09-420E-9DFF-B061A48E717C}">
  <dimension ref="A1:F48"/>
  <sheetViews>
    <sheetView workbookViewId="0">
      <selection activeCell="E22" sqref="E22"/>
    </sheetView>
  </sheetViews>
  <sheetFormatPr baseColWidth="10" defaultRowHeight="15" x14ac:dyDescent="0.25"/>
  <cols>
    <col min="1" max="1" width="19.28515625" bestFit="1" customWidth="1"/>
  </cols>
  <sheetData>
    <row r="1" spans="1:6" x14ac:dyDescent="0.25">
      <c r="A1" s="2" t="s">
        <v>62</v>
      </c>
      <c r="B1" s="2" t="s">
        <v>65</v>
      </c>
      <c r="C1" s="2" t="s">
        <v>66</v>
      </c>
      <c r="D1" s="2" t="s">
        <v>75</v>
      </c>
      <c r="E1" s="2" t="s">
        <v>70</v>
      </c>
      <c r="F1" s="2" t="s">
        <v>72</v>
      </c>
    </row>
    <row r="2" spans="1:6" x14ac:dyDescent="0.25">
      <c r="A2" s="2" t="s">
        <v>81</v>
      </c>
    </row>
    <row r="3" spans="1:6" x14ac:dyDescent="0.25">
      <c r="A3" t="s">
        <v>82</v>
      </c>
      <c r="B3" t="s">
        <v>71</v>
      </c>
      <c r="C3">
        <v>2</v>
      </c>
      <c r="D3">
        <v>1</v>
      </c>
      <c r="F3" t="s">
        <v>84</v>
      </c>
    </row>
    <row r="4" spans="1:6" x14ac:dyDescent="0.25">
      <c r="A4" t="s">
        <v>83</v>
      </c>
      <c r="B4" t="s">
        <v>76</v>
      </c>
      <c r="C4">
        <v>1</v>
      </c>
      <c r="D4">
        <v>1</v>
      </c>
    </row>
    <row r="5" spans="1:6" x14ac:dyDescent="0.25">
      <c r="A5" t="s">
        <v>85</v>
      </c>
      <c r="B5" t="s">
        <v>63</v>
      </c>
      <c r="C5">
        <v>1</v>
      </c>
      <c r="D5">
        <v>1</v>
      </c>
    </row>
    <row r="6" spans="1:6" x14ac:dyDescent="0.25">
      <c r="A6" s="2" t="s">
        <v>86</v>
      </c>
    </row>
    <row r="7" spans="1:6" x14ac:dyDescent="0.25">
      <c r="A7" t="s">
        <v>87</v>
      </c>
      <c r="B7" t="s">
        <v>76</v>
      </c>
      <c r="C7">
        <v>1</v>
      </c>
      <c r="D7">
        <v>1</v>
      </c>
    </row>
    <row r="8" spans="1:6" x14ac:dyDescent="0.25">
      <c r="A8" t="s">
        <v>29</v>
      </c>
      <c r="B8" t="s">
        <v>63</v>
      </c>
      <c r="C8">
        <v>1</v>
      </c>
      <c r="D8">
        <v>1</v>
      </c>
    </row>
    <row r="9" spans="1:6" x14ac:dyDescent="0.25">
      <c r="A9" s="2" t="s">
        <v>88</v>
      </c>
    </row>
    <row r="10" spans="1:6" x14ac:dyDescent="0.25">
      <c r="A10" t="s">
        <v>97</v>
      </c>
      <c r="B10" t="s">
        <v>2</v>
      </c>
      <c r="C10">
        <v>4</v>
      </c>
      <c r="D10">
        <v>1</v>
      </c>
      <c r="E10">
        <v>1</v>
      </c>
      <c r="F10" t="s">
        <v>73</v>
      </c>
    </row>
    <row r="11" spans="1:6" x14ac:dyDescent="0.25">
      <c r="A11" t="s">
        <v>90</v>
      </c>
      <c r="B11" t="s">
        <v>63</v>
      </c>
      <c r="C11">
        <v>3</v>
      </c>
      <c r="D11">
        <v>1</v>
      </c>
      <c r="F11" t="s">
        <v>91</v>
      </c>
    </row>
    <row r="12" spans="1:6" x14ac:dyDescent="0.25">
      <c r="A12" t="s">
        <v>92</v>
      </c>
      <c r="B12" t="s">
        <v>76</v>
      </c>
      <c r="C12">
        <v>1</v>
      </c>
      <c r="D12" t="s">
        <v>93</v>
      </c>
      <c r="F12" t="s">
        <v>94</v>
      </c>
    </row>
    <row r="13" spans="1:6" x14ac:dyDescent="0.25">
      <c r="A13" t="s">
        <v>89</v>
      </c>
      <c r="B13" t="s">
        <v>76</v>
      </c>
      <c r="C13">
        <v>1</v>
      </c>
      <c r="D13">
        <v>1</v>
      </c>
    </row>
    <row r="14" spans="1:6" x14ac:dyDescent="0.25">
      <c r="A14" s="2" t="s">
        <v>95</v>
      </c>
    </row>
    <row r="15" spans="1:6" x14ac:dyDescent="0.25">
      <c r="A15" t="s">
        <v>96</v>
      </c>
      <c r="B15" t="s">
        <v>2</v>
      </c>
      <c r="C15">
        <v>1</v>
      </c>
      <c r="D15">
        <v>1</v>
      </c>
      <c r="E15">
        <v>1</v>
      </c>
    </row>
    <row r="16" spans="1:6" x14ac:dyDescent="0.25">
      <c r="A16" t="s">
        <v>92</v>
      </c>
      <c r="B16" t="s">
        <v>76</v>
      </c>
      <c r="C16">
        <v>1</v>
      </c>
      <c r="D16" t="s">
        <v>93</v>
      </c>
      <c r="F16" t="s">
        <v>98</v>
      </c>
    </row>
    <row r="17" spans="1:6" x14ac:dyDescent="0.25">
      <c r="A17" t="s">
        <v>30</v>
      </c>
      <c r="B17" t="s">
        <v>63</v>
      </c>
      <c r="C17">
        <v>1</v>
      </c>
      <c r="D17">
        <v>1</v>
      </c>
    </row>
    <row r="18" spans="1:6" x14ac:dyDescent="0.25">
      <c r="A18" s="2" t="s">
        <v>99</v>
      </c>
    </row>
    <row r="19" spans="1:6" x14ac:dyDescent="0.25">
      <c r="A19" t="s">
        <v>100</v>
      </c>
      <c r="B19" t="s">
        <v>76</v>
      </c>
      <c r="C19">
        <v>1</v>
      </c>
      <c r="D19">
        <v>1</v>
      </c>
    </row>
    <row r="20" spans="1:6" x14ac:dyDescent="0.25">
      <c r="A20" t="s">
        <v>101</v>
      </c>
      <c r="B20" t="s">
        <v>76</v>
      </c>
      <c r="C20">
        <v>1</v>
      </c>
      <c r="D20">
        <v>1</v>
      </c>
    </row>
    <row r="21" spans="1:6" x14ac:dyDescent="0.25">
      <c r="A21" s="2" t="s">
        <v>102</v>
      </c>
    </row>
    <row r="22" spans="1:6" x14ac:dyDescent="0.25">
      <c r="A22" t="s">
        <v>103</v>
      </c>
      <c r="B22" t="s">
        <v>104</v>
      </c>
      <c r="C22">
        <v>1</v>
      </c>
      <c r="D22">
        <v>1</v>
      </c>
    </row>
    <row r="23" spans="1:6" x14ac:dyDescent="0.25">
      <c r="A23" t="s">
        <v>105</v>
      </c>
      <c r="B23" t="s">
        <v>76</v>
      </c>
      <c r="C23">
        <v>1</v>
      </c>
      <c r="D23">
        <v>1</v>
      </c>
    </row>
    <row r="24" spans="1:6" x14ac:dyDescent="0.25">
      <c r="A24" t="s">
        <v>106</v>
      </c>
      <c r="B24" t="s">
        <v>76</v>
      </c>
      <c r="C24">
        <v>1</v>
      </c>
      <c r="D24">
        <v>1</v>
      </c>
    </row>
    <row r="25" spans="1:6" x14ac:dyDescent="0.25">
      <c r="A25" t="s">
        <v>107</v>
      </c>
      <c r="B25" t="s">
        <v>63</v>
      </c>
      <c r="C25">
        <v>1</v>
      </c>
      <c r="D25">
        <v>1</v>
      </c>
    </row>
    <row r="26" spans="1:6" x14ac:dyDescent="0.25">
      <c r="A26" s="2" t="s">
        <v>108</v>
      </c>
    </row>
    <row r="27" spans="1:6" x14ac:dyDescent="0.25">
      <c r="A27" t="s">
        <v>34</v>
      </c>
      <c r="B27" t="s">
        <v>63</v>
      </c>
      <c r="C27">
        <v>1</v>
      </c>
      <c r="D27">
        <v>1</v>
      </c>
      <c r="F27" t="s">
        <v>109</v>
      </c>
    </row>
    <row r="28" spans="1:6" x14ac:dyDescent="0.25">
      <c r="A28" t="s">
        <v>110</v>
      </c>
      <c r="B28" t="s">
        <v>76</v>
      </c>
      <c r="C28">
        <v>1</v>
      </c>
      <c r="D28">
        <v>1</v>
      </c>
    </row>
    <row r="29" spans="1:6" x14ac:dyDescent="0.25">
      <c r="A29" t="s">
        <v>111</v>
      </c>
      <c r="B29" t="s">
        <v>76</v>
      </c>
      <c r="C29">
        <v>1</v>
      </c>
      <c r="D29">
        <v>1</v>
      </c>
    </row>
    <row r="30" spans="1:6" x14ac:dyDescent="0.25">
      <c r="A30" s="2" t="s">
        <v>112</v>
      </c>
    </row>
    <row r="31" spans="1:6" x14ac:dyDescent="0.25">
      <c r="A31" t="s">
        <v>113</v>
      </c>
      <c r="B31" t="s">
        <v>64</v>
      </c>
      <c r="C31">
        <v>4</v>
      </c>
      <c r="D31">
        <v>1</v>
      </c>
      <c r="E31">
        <v>1</v>
      </c>
    </row>
    <row r="32" spans="1:6" x14ac:dyDescent="0.25">
      <c r="A32" t="s">
        <v>114</v>
      </c>
      <c r="B32" t="s">
        <v>76</v>
      </c>
      <c r="C32">
        <v>3</v>
      </c>
      <c r="D32">
        <v>1</v>
      </c>
    </row>
    <row r="33" spans="1:6" x14ac:dyDescent="0.25">
      <c r="A33" t="s">
        <v>32</v>
      </c>
      <c r="B33" t="s">
        <v>63</v>
      </c>
      <c r="C33">
        <v>1</v>
      </c>
      <c r="D33">
        <v>1</v>
      </c>
    </row>
    <row r="34" spans="1:6" x14ac:dyDescent="0.25">
      <c r="A34" t="s">
        <v>33</v>
      </c>
      <c r="B34" t="s">
        <v>63</v>
      </c>
      <c r="C34">
        <v>1</v>
      </c>
      <c r="D34">
        <v>1</v>
      </c>
    </row>
    <row r="35" spans="1:6" x14ac:dyDescent="0.25">
      <c r="A35" t="s">
        <v>126</v>
      </c>
      <c r="B35" t="s">
        <v>63</v>
      </c>
      <c r="C35">
        <v>1</v>
      </c>
      <c r="D35">
        <v>1</v>
      </c>
    </row>
    <row r="36" spans="1:6" x14ac:dyDescent="0.25">
      <c r="A36" s="2" t="s">
        <v>115</v>
      </c>
    </row>
    <row r="37" spans="1:6" x14ac:dyDescent="0.25">
      <c r="A37" t="s">
        <v>67</v>
      </c>
      <c r="B37" t="s">
        <v>64</v>
      </c>
      <c r="C37">
        <v>4</v>
      </c>
      <c r="D37">
        <v>1</v>
      </c>
      <c r="E37">
        <v>1</v>
      </c>
    </row>
    <row r="38" spans="1:6" x14ac:dyDescent="0.25">
      <c r="A38" t="s">
        <v>116</v>
      </c>
      <c r="B38" t="s">
        <v>71</v>
      </c>
      <c r="C38">
        <v>0</v>
      </c>
      <c r="D38">
        <v>1</v>
      </c>
      <c r="E38">
        <f>E3</f>
        <v>0</v>
      </c>
      <c r="F38" t="s">
        <v>124</v>
      </c>
    </row>
    <row r="39" spans="1:6" x14ac:dyDescent="0.25">
      <c r="A39" t="s">
        <v>77</v>
      </c>
      <c r="B39" t="s">
        <v>78</v>
      </c>
      <c r="C39">
        <v>2</v>
      </c>
      <c r="D39">
        <v>1</v>
      </c>
    </row>
    <row r="40" spans="1:6" x14ac:dyDescent="0.25">
      <c r="A40" t="s">
        <v>23</v>
      </c>
      <c r="B40" t="s">
        <v>74</v>
      </c>
      <c r="C40">
        <v>2</v>
      </c>
      <c r="D40">
        <v>1</v>
      </c>
      <c r="E40">
        <v>0.5</v>
      </c>
      <c r="F40" t="s">
        <v>262</v>
      </c>
    </row>
    <row r="41" spans="1:6" x14ac:dyDescent="0.25">
      <c r="A41" t="s">
        <v>117</v>
      </c>
      <c r="B41" t="s">
        <v>76</v>
      </c>
      <c r="C41">
        <v>3</v>
      </c>
      <c r="D41">
        <v>1</v>
      </c>
    </row>
    <row r="42" spans="1:6" x14ac:dyDescent="0.25">
      <c r="A42" t="s">
        <v>118</v>
      </c>
      <c r="B42" t="s">
        <v>76</v>
      </c>
      <c r="C42">
        <v>1</v>
      </c>
      <c r="D42">
        <v>1</v>
      </c>
    </row>
    <row r="43" spans="1:6" x14ac:dyDescent="0.25">
      <c r="A43" t="s">
        <v>120</v>
      </c>
      <c r="B43" t="s">
        <v>79</v>
      </c>
      <c r="C43">
        <v>2</v>
      </c>
      <c r="D43">
        <v>0</v>
      </c>
      <c r="F43" t="s">
        <v>80</v>
      </c>
    </row>
    <row r="44" spans="1:6" x14ac:dyDescent="0.25">
      <c r="A44" s="2" t="s">
        <v>119</v>
      </c>
    </row>
    <row r="45" spans="1:6" x14ac:dyDescent="0.25">
      <c r="A45" t="s">
        <v>68</v>
      </c>
      <c r="B45" t="s">
        <v>69</v>
      </c>
      <c r="C45">
        <v>6</v>
      </c>
      <c r="D45">
        <v>1</v>
      </c>
      <c r="E45">
        <v>1</v>
      </c>
    </row>
    <row r="46" spans="1:6" x14ac:dyDescent="0.25">
      <c r="A46" t="s">
        <v>121</v>
      </c>
      <c r="B46" t="s">
        <v>122</v>
      </c>
      <c r="C46">
        <v>4</v>
      </c>
      <c r="D46">
        <v>1</v>
      </c>
      <c r="E46">
        <v>1</v>
      </c>
    </row>
    <row r="47" spans="1:6" x14ac:dyDescent="0.25">
      <c r="A47" t="s">
        <v>123</v>
      </c>
      <c r="B47" t="s">
        <v>71</v>
      </c>
      <c r="C47">
        <v>0</v>
      </c>
      <c r="D47">
        <v>1</v>
      </c>
      <c r="E47">
        <f>E3</f>
        <v>0</v>
      </c>
      <c r="F47" t="s">
        <v>124</v>
      </c>
    </row>
    <row r="48" spans="1:6" x14ac:dyDescent="0.25">
      <c r="A48" t="s">
        <v>125</v>
      </c>
      <c r="B48" t="s">
        <v>125</v>
      </c>
      <c r="C48">
        <v>1</v>
      </c>
      <c r="D4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21B9-8FD5-42F9-A600-73F4C1B03402}">
  <dimension ref="A1:H10"/>
  <sheetViews>
    <sheetView workbookViewId="0">
      <selection activeCell="H8" sqref="H8"/>
    </sheetView>
  </sheetViews>
  <sheetFormatPr baseColWidth="10" defaultRowHeight="15" x14ac:dyDescent="0.25"/>
  <cols>
    <col min="1" max="1" width="19.5703125" bestFit="1" customWidth="1"/>
    <col min="2" max="2" width="16.5703125" bestFit="1" customWidth="1"/>
    <col min="4" max="4" width="18.42578125" bestFit="1" customWidth="1"/>
    <col min="5" max="5" width="31.85546875" bestFit="1" customWidth="1"/>
  </cols>
  <sheetData>
    <row r="1" spans="1:8" x14ac:dyDescent="0.25">
      <c r="A1" t="s">
        <v>0</v>
      </c>
    </row>
    <row r="3" spans="1:8" x14ac:dyDescent="0.25">
      <c r="A3" t="s">
        <v>11</v>
      </c>
      <c r="B3" t="s">
        <v>3</v>
      </c>
      <c r="C3" t="s">
        <v>1</v>
      </c>
      <c r="D3" t="s">
        <v>15</v>
      </c>
      <c r="E3" t="s">
        <v>18</v>
      </c>
      <c r="F3" t="s">
        <v>21</v>
      </c>
      <c r="G3" t="s">
        <v>22</v>
      </c>
      <c r="H3" t="s">
        <v>23</v>
      </c>
    </row>
    <row r="4" spans="1:8" x14ac:dyDescent="0.25">
      <c r="A4" t="s">
        <v>4</v>
      </c>
      <c r="B4" s="1" t="s">
        <v>2</v>
      </c>
      <c r="C4">
        <v>16</v>
      </c>
      <c r="D4" t="s">
        <v>16</v>
      </c>
      <c r="E4" t="s">
        <v>19</v>
      </c>
      <c r="F4">
        <v>12</v>
      </c>
      <c r="G4" t="s">
        <v>25</v>
      </c>
      <c r="H4" t="s">
        <v>24</v>
      </c>
    </row>
    <row r="5" spans="1:8" x14ac:dyDescent="0.25">
      <c r="A5" t="s">
        <v>5</v>
      </c>
      <c r="B5" s="1" t="s">
        <v>7</v>
      </c>
      <c r="C5">
        <v>16</v>
      </c>
      <c r="D5" t="s">
        <v>17</v>
      </c>
      <c r="E5" t="s">
        <v>20</v>
      </c>
      <c r="F5">
        <v>4</v>
      </c>
      <c r="G5">
        <v>4</v>
      </c>
      <c r="H5" t="s">
        <v>24</v>
      </c>
    </row>
    <row r="6" spans="1:8" x14ac:dyDescent="0.25">
      <c r="A6" t="s">
        <v>6</v>
      </c>
      <c r="B6" s="1" t="s">
        <v>8</v>
      </c>
      <c r="C6">
        <v>32</v>
      </c>
      <c r="D6" t="s">
        <v>17</v>
      </c>
      <c r="E6" t="s">
        <v>20</v>
      </c>
      <c r="F6">
        <v>4</v>
      </c>
      <c r="G6" t="s">
        <v>24</v>
      </c>
      <c r="H6" t="s">
        <v>25</v>
      </c>
    </row>
    <row r="7" spans="1:8" x14ac:dyDescent="0.25">
      <c r="A7" t="s">
        <v>6</v>
      </c>
      <c r="B7" s="1" t="s">
        <v>9</v>
      </c>
      <c r="C7">
        <v>16</v>
      </c>
      <c r="D7" t="s">
        <v>17</v>
      </c>
      <c r="E7" t="s">
        <v>20</v>
      </c>
      <c r="F7">
        <v>4</v>
      </c>
      <c r="G7" t="s">
        <v>24</v>
      </c>
      <c r="H7" t="s">
        <v>25</v>
      </c>
    </row>
    <row r="8" spans="1:8" x14ac:dyDescent="0.25">
      <c r="A8" t="s">
        <v>6</v>
      </c>
      <c r="B8" t="s">
        <v>10</v>
      </c>
      <c r="C8">
        <v>16</v>
      </c>
      <c r="D8" t="s">
        <v>16</v>
      </c>
      <c r="E8" t="s">
        <v>20</v>
      </c>
      <c r="F8">
        <v>2</v>
      </c>
      <c r="G8">
        <v>1</v>
      </c>
      <c r="H8" t="s">
        <v>24</v>
      </c>
    </row>
    <row r="9" spans="1:8" x14ac:dyDescent="0.25">
      <c r="A9" t="s">
        <v>6</v>
      </c>
      <c r="B9" t="s">
        <v>12</v>
      </c>
      <c r="C9">
        <v>16</v>
      </c>
      <c r="D9" t="s">
        <v>16</v>
      </c>
      <c r="E9" t="s">
        <v>20</v>
      </c>
      <c r="F9">
        <v>1</v>
      </c>
      <c r="G9">
        <v>2</v>
      </c>
      <c r="H9" t="s">
        <v>24</v>
      </c>
    </row>
    <row r="10" spans="1:8" x14ac:dyDescent="0.25">
      <c r="A10" t="s">
        <v>13</v>
      </c>
      <c r="B10" t="s">
        <v>14</v>
      </c>
      <c r="C10">
        <v>16</v>
      </c>
      <c r="D10" t="s">
        <v>16</v>
      </c>
      <c r="E10" t="s">
        <v>20</v>
      </c>
      <c r="F10">
        <v>0</v>
      </c>
      <c r="G10" t="s">
        <v>24</v>
      </c>
      <c r="H10" t="s">
        <v>24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C468-5DCA-4C9B-A202-E607297D0B02}">
  <dimension ref="A1:C6"/>
  <sheetViews>
    <sheetView workbookViewId="0">
      <selection activeCell="C12" sqref="C12"/>
    </sheetView>
  </sheetViews>
  <sheetFormatPr baseColWidth="10" defaultRowHeight="15" x14ac:dyDescent="0.25"/>
  <cols>
    <col min="1" max="1" width="12.5703125" bestFit="1" customWidth="1"/>
    <col min="2" max="3" width="13.5703125" bestFit="1" customWidth="1"/>
  </cols>
  <sheetData>
    <row r="1" spans="1:3" x14ac:dyDescent="0.25">
      <c r="A1" t="s">
        <v>269</v>
      </c>
      <c r="B1" t="s">
        <v>268</v>
      </c>
      <c r="C1" t="s">
        <v>270</v>
      </c>
    </row>
    <row r="2" spans="1:3" x14ac:dyDescent="0.25">
      <c r="A2" t="s">
        <v>276</v>
      </c>
      <c r="B2" t="s">
        <v>275</v>
      </c>
      <c r="C2" t="s">
        <v>277</v>
      </c>
    </row>
    <row r="3" spans="1:3" x14ac:dyDescent="0.25">
      <c r="A3" s="5" t="s">
        <v>273</v>
      </c>
      <c r="B3" s="5" t="s">
        <v>274</v>
      </c>
      <c r="C3" s="5" t="s">
        <v>246</v>
      </c>
    </row>
    <row r="4" spans="1:3" x14ac:dyDescent="0.25">
      <c r="A4" t="s">
        <v>265</v>
      </c>
      <c r="B4" t="s">
        <v>272</v>
      </c>
      <c r="C4" t="s">
        <v>278</v>
      </c>
    </row>
    <row r="5" spans="1:3" x14ac:dyDescent="0.25">
      <c r="A5" t="s">
        <v>266</v>
      </c>
      <c r="B5" t="s">
        <v>271</v>
      </c>
      <c r="C5" t="s">
        <v>271</v>
      </c>
    </row>
    <row r="6" spans="1:3" x14ac:dyDescent="0.25">
      <c r="A6" t="s">
        <v>267</v>
      </c>
      <c r="B6" t="s">
        <v>243</v>
      </c>
      <c r="C6" t="s">
        <v>271</v>
      </c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1967-F282-4108-9A8D-678FB35305D6}">
  <dimension ref="A1:M42"/>
  <sheetViews>
    <sheetView workbookViewId="0">
      <selection activeCell="M30" sqref="M30"/>
    </sheetView>
  </sheetViews>
  <sheetFormatPr baseColWidth="10" defaultRowHeight="15" x14ac:dyDescent="0.25"/>
  <cols>
    <col min="1" max="1" width="23.28515625" bestFit="1" customWidth="1"/>
    <col min="2" max="2" width="34.85546875" bestFit="1" customWidth="1"/>
    <col min="3" max="3" width="6.28515625" bestFit="1" customWidth="1"/>
    <col min="4" max="4" width="13" bestFit="1" customWidth="1"/>
    <col min="5" max="5" width="12.85546875" bestFit="1" customWidth="1"/>
    <col min="6" max="6" width="12.42578125" bestFit="1" customWidth="1"/>
    <col min="7" max="7" width="13.28515625" customWidth="1"/>
    <col min="8" max="9" width="11.28515625" bestFit="1" customWidth="1"/>
    <col min="10" max="10" width="12" bestFit="1" customWidth="1"/>
    <col min="12" max="12" width="18" bestFit="1" customWidth="1"/>
  </cols>
  <sheetData>
    <row r="1" spans="1:13" x14ac:dyDescent="0.25">
      <c r="A1" t="s">
        <v>26</v>
      </c>
    </row>
    <row r="2" spans="1:13" x14ac:dyDescent="0.25">
      <c r="D2" s="8" t="s">
        <v>52</v>
      </c>
      <c r="E2" s="8"/>
      <c r="F2" s="8"/>
      <c r="G2" s="8"/>
      <c r="H2" s="8"/>
      <c r="I2" s="8"/>
      <c r="J2" s="8"/>
    </row>
    <row r="3" spans="1:13" x14ac:dyDescent="0.25">
      <c r="A3" s="3" t="s">
        <v>27</v>
      </c>
      <c r="B3" s="3" t="s">
        <v>31</v>
      </c>
      <c r="C3" s="3" t="s">
        <v>28</v>
      </c>
      <c r="D3" s="3" t="s">
        <v>45</v>
      </c>
      <c r="E3" s="3" t="s">
        <v>46</v>
      </c>
      <c r="F3" s="3" t="s">
        <v>48</v>
      </c>
      <c r="G3" s="3" t="s">
        <v>53</v>
      </c>
      <c r="H3" s="3" t="s">
        <v>55</v>
      </c>
      <c r="I3" s="3" t="s">
        <v>140</v>
      </c>
      <c r="J3" s="3" t="s">
        <v>47</v>
      </c>
      <c r="K3" s="3" t="s">
        <v>63</v>
      </c>
    </row>
    <row r="4" spans="1:13" x14ac:dyDescent="0.25">
      <c r="A4" s="3" t="s">
        <v>29</v>
      </c>
      <c r="B4" s="3" t="s">
        <v>44</v>
      </c>
      <c r="C4" s="3" t="s">
        <v>50</v>
      </c>
      <c r="D4" s="3" t="s">
        <v>61</v>
      </c>
      <c r="E4" s="3" t="s">
        <v>61</v>
      </c>
      <c r="F4" s="3"/>
      <c r="G4" s="3" t="s">
        <v>61</v>
      </c>
      <c r="H4" s="3"/>
      <c r="I4" s="3"/>
      <c r="J4" s="3" t="s">
        <v>51</v>
      </c>
      <c r="K4" s="4">
        <v>3</v>
      </c>
    </row>
    <row r="5" spans="1:13" x14ac:dyDescent="0.25">
      <c r="A5" s="3" t="s">
        <v>30</v>
      </c>
      <c r="B5" s="3" t="s">
        <v>57</v>
      </c>
      <c r="C5" s="3" t="s">
        <v>50</v>
      </c>
      <c r="D5" s="3"/>
      <c r="E5" s="3"/>
      <c r="F5" s="3" t="s">
        <v>51</v>
      </c>
      <c r="G5" s="3"/>
      <c r="H5" s="3"/>
      <c r="I5" s="3"/>
      <c r="J5" s="3"/>
      <c r="K5" s="4">
        <v>4</v>
      </c>
    </row>
    <row r="6" spans="1:13" x14ac:dyDescent="0.25">
      <c r="A6" s="3" t="s">
        <v>32</v>
      </c>
      <c r="B6" s="3" t="s">
        <v>59</v>
      </c>
      <c r="C6" s="3" t="s">
        <v>50</v>
      </c>
      <c r="D6" s="3" t="s">
        <v>51</v>
      </c>
      <c r="E6" s="3" t="s">
        <v>51</v>
      </c>
      <c r="F6" s="3" t="s">
        <v>51</v>
      </c>
      <c r="G6" s="3" t="s">
        <v>61</v>
      </c>
      <c r="H6" s="3" t="s">
        <v>139</v>
      </c>
      <c r="I6" s="3"/>
      <c r="J6" s="3" t="s">
        <v>61</v>
      </c>
      <c r="K6" s="4">
        <v>2</v>
      </c>
    </row>
    <row r="7" spans="1:13" x14ac:dyDescent="0.25">
      <c r="A7" s="3" t="s">
        <v>33</v>
      </c>
      <c r="B7" s="3" t="s">
        <v>60</v>
      </c>
      <c r="C7" s="3" t="s">
        <v>50</v>
      </c>
      <c r="D7" s="3" t="s">
        <v>51</v>
      </c>
      <c r="E7" s="3" t="s">
        <v>51</v>
      </c>
      <c r="F7" s="3"/>
      <c r="G7" s="3" t="s">
        <v>51</v>
      </c>
      <c r="H7" s="3"/>
      <c r="I7" s="3" t="s">
        <v>139</v>
      </c>
      <c r="J7" s="3"/>
      <c r="K7" s="4">
        <v>1</v>
      </c>
    </row>
    <row r="8" spans="1:13" x14ac:dyDescent="0.25">
      <c r="A8" s="3" t="s">
        <v>126</v>
      </c>
      <c r="B8" s="3" t="s">
        <v>127</v>
      </c>
      <c r="C8" s="3" t="s">
        <v>50</v>
      </c>
      <c r="D8" s="3"/>
      <c r="E8" s="3"/>
      <c r="F8" s="3" t="s">
        <v>51</v>
      </c>
      <c r="G8" s="3"/>
      <c r="H8" s="3"/>
      <c r="I8" s="3"/>
      <c r="J8" s="3"/>
      <c r="K8" s="4">
        <v>5</v>
      </c>
      <c r="L8" t="s">
        <v>280</v>
      </c>
      <c r="M8">
        <v>3</v>
      </c>
    </row>
    <row r="9" spans="1:13" x14ac:dyDescent="0.25">
      <c r="A9" s="3" t="s">
        <v>34</v>
      </c>
      <c r="B9" s="3" t="s">
        <v>58</v>
      </c>
      <c r="C9" s="3" t="s">
        <v>50</v>
      </c>
      <c r="D9" s="3" t="s">
        <v>54</v>
      </c>
      <c r="E9" s="3"/>
      <c r="F9" s="3"/>
      <c r="G9" s="3" t="s">
        <v>51</v>
      </c>
      <c r="H9" s="3"/>
      <c r="I9" s="3"/>
      <c r="J9" s="3"/>
      <c r="K9" s="4">
        <f>K5</f>
        <v>4</v>
      </c>
    </row>
    <row r="10" spans="1:13" x14ac:dyDescent="0.25">
      <c r="A10" s="3" t="s">
        <v>49</v>
      </c>
      <c r="B10" s="3" t="s">
        <v>56</v>
      </c>
      <c r="C10" s="3" t="s">
        <v>50</v>
      </c>
      <c r="D10" s="3"/>
      <c r="E10" s="3"/>
      <c r="F10" s="3"/>
      <c r="G10" s="3"/>
      <c r="H10" s="3"/>
      <c r="I10" s="3"/>
      <c r="J10" s="3" t="s">
        <v>51</v>
      </c>
      <c r="K10" s="4">
        <f>K8</f>
        <v>5</v>
      </c>
      <c r="L10" t="s">
        <v>280</v>
      </c>
      <c r="M10">
        <v>2</v>
      </c>
    </row>
    <row r="11" spans="1:13" x14ac:dyDescent="0.25">
      <c r="A11" s="3" t="s">
        <v>35</v>
      </c>
      <c r="B11" s="3" t="s">
        <v>43</v>
      </c>
      <c r="C11" s="3" t="s">
        <v>39</v>
      </c>
      <c r="D11" s="3"/>
      <c r="E11" s="3"/>
      <c r="F11" s="3"/>
      <c r="G11" s="3" t="s">
        <v>54</v>
      </c>
      <c r="H11" s="3"/>
      <c r="I11" s="3"/>
      <c r="J11" s="3"/>
      <c r="K11" s="4" t="s">
        <v>128</v>
      </c>
    </row>
    <row r="12" spans="1:13" x14ac:dyDescent="0.25">
      <c r="A12" s="3" t="s">
        <v>36</v>
      </c>
      <c r="B12" s="3" t="s">
        <v>42</v>
      </c>
      <c r="C12" s="3" t="s">
        <v>39</v>
      </c>
      <c r="D12" s="3" t="s">
        <v>54</v>
      </c>
      <c r="E12" s="3" t="s">
        <v>54</v>
      </c>
      <c r="F12" s="3" t="s">
        <v>54</v>
      </c>
      <c r="G12" s="3" t="s">
        <v>54</v>
      </c>
      <c r="H12" s="3"/>
      <c r="I12" s="3"/>
      <c r="J12" s="3" t="s">
        <v>54</v>
      </c>
      <c r="K12" s="4" t="s">
        <v>128</v>
      </c>
    </row>
    <row r="13" spans="1:13" x14ac:dyDescent="0.25">
      <c r="A13" s="3" t="s">
        <v>37</v>
      </c>
      <c r="B13" s="3" t="s">
        <v>41</v>
      </c>
      <c r="C13" s="3" t="s">
        <v>39</v>
      </c>
      <c r="D13" s="3" t="s">
        <v>54</v>
      </c>
      <c r="E13" s="3" t="s">
        <v>54</v>
      </c>
      <c r="F13" s="3" t="s">
        <v>54</v>
      </c>
      <c r="G13" s="3" t="s">
        <v>54</v>
      </c>
      <c r="H13" s="3"/>
      <c r="I13" s="3"/>
      <c r="J13" s="3" t="s">
        <v>54</v>
      </c>
      <c r="K13" s="4" t="s">
        <v>128</v>
      </c>
    </row>
    <row r="14" spans="1:13" x14ac:dyDescent="0.25">
      <c r="A14" s="3" t="s">
        <v>38</v>
      </c>
      <c r="B14" s="3" t="s">
        <v>40</v>
      </c>
      <c r="C14" s="3" t="s">
        <v>39</v>
      </c>
      <c r="D14" s="3" t="s">
        <v>54</v>
      </c>
      <c r="E14" s="3" t="s">
        <v>54</v>
      </c>
      <c r="F14" s="3" t="s">
        <v>54</v>
      </c>
      <c r="G14" s="3" t="s">
        <v>54</v>
      </c>
      <c r="H14" s="3"/>
      <c r="I14" s="3"/>
      <c r="J14" s="3" t="s">
        <v>54</v>
      </c>
      <c r="K14" s="4" t="s">
        <v>128</v>
      </c>
    </row>
    <row r="15" spans="1:13" x14ac:dyDescent="0.25">
      <c r="A15" s="3" t="s">
        <v>129</v>
      </c>
      <c r="B15" s="3" t="s">
        <v>130</v>
      </c>
      <c r="C15" s="3" t="s">
        <v>39</v>
      </c>
      <c r="D15" s="3"/>
      <c r="E15" s="3"/>
      <c r="F15" s="3"/>
      <c r="G15" s="3"/>
      <c r="H15" s="3"/>
      <c r="I15" s="3"/>
      <c r="J15" s="3"/>
      <c r="K15" s="4" t="s">
        <v>133</v>
      </c>
    </row>
    <row r="16" spans="1:13" x14ac:dyDescent="0.25">
      <c r="A16" s="3" t="s">
        <v>135</v>
      </c>
      <c r="B16" s="3" t="s">
        <v>131</v>
      </c>
      <c r="C16" s="3" t="s">
        <v>39</v>
      </c>
      <c r="D16" s="3" t="s">
        <v>150</v>
      </c>
      <c r="E16" s="3" t="s">
        <v>150</v>
      </c>
      <c r="F16" s="3" t="s">
        <v>150</v>
      </c>
      <c r="G16" s="3" t="s">
        <v>150</v>
      </c>
      <c r="H16" s="3" t="s">
        <v>150</v>
      </c>
      <c r="I16" s="3" t="s">
        <v>150</v>
      </c>
      <c r="J16" s="3" t="s">
        <v>150</v>
      </c>
      <c r="K16" s="4" t="s">
        <v>134</v>
      </c>
    </row>
    <row r="17" spans="1:13" x14ac:dyDescent="0.25">
      <c r="A17" s="3" t="s">
        <v>142</v>
      </c>
      <c r="B17" s="3" t="s">
        <v>146</v>
      </c>
      <c r="C17" s="3" t="s">
        <v>39</v>
      </c>
      <c r="D17" s="3" t="s">
        <v>150</v>
      </c>
      <c r="E17" s="3" t="s">
        <v>150</v>
      </c>
      <c r="F17" s="3" t="s">
        <v>150</v>
      </c>
      <c r="G17" s="3" t="s">
        <v>150</v>
      </c>
      <c r="H17" s="3" t="s">
        <v>150</v>
      </c>
      <c r="I17" s="3" t="s">
        <v>150</v>
      </c>
      <c r="J17" s="3" t="s">
        <v>150</v>
      </c>
      <c r="K17" s="4" t="s">
        <v>128</v>
      </c>
    </row>
    <row r="18" spans="1:13" x14ac:dyDescent="0.25">
      <c r="A18" s="3" t="s">
        <v>145</v>
      </c>
      <c r="B18" s="3" t="s">
        <v>147</v>
      </c>
      <c r="C18" s="3" t="s">
        <v>39</v>
      </c>
      <c r="D18" s="3" t="s">
        <v>150</v>
      </c>
      <c r="E18" s="3" t="s">
        <v>150</v>
      </c>
      <c r="F18" s="3" t="s">
        <v>150</v>
      </c>
      <c r="G18" s="3" t="s">
        <v>150</v>
      </c>
      <c r="H18" s="3" t="s">
        <v>150</v>
      </c>
      <c r="I18" s="3" t="s">
        <v>150</v>
      </c>
      <c r="J18" s="3" t="s">
        <v>150</v>
      </c>
      <c r="K18" s="4" t="s">
        <v>128</v>
      </c>
    </row>
    <row r="19" spans="1:13" x14ac:dyDescent="0.25">
      <c r="A19" s="3" t="s">
        <v>143</v>
      </c>
      <c r="B19" s="3" t="s">
        <v>148</v>
      </c>
      <c r="C19" s="3" t="s">
        <v>39</v>
      </c>
      <c r="D19" s="3" t="s">
        <v>150</v>
      </c>
      <c r="E19" s="3" t="s">
        <v>150</v>
      </c>
      <c r="F19" s="3" t="s">
        <v>150</v>
      </c>
      <c r="G19" s="3" t="s">
        <v>150</v>
      </c>
      <c r="H19" s="3" t="s">
        <v>150</v>
      </c>
      <c r="I19" s="3" t="s">
        <v>150</v>
      </c>
      <c r="J19" s="3" t="s">
        <v>150</v>
      </c>
      <c r="K19" s="4" t="s">
        <v>128</v>
      </c>
    </row>
    <row r="20" spans="1:13" x14ac:dyDescent="0.25">
      <c r="A20" s="3" t="s">
        <v>144</v>
      </c>
      <c r="B20" s="3" t="s">
        <v>149</v>
      </c>
      <c r="C20" s="3" t="s">
        <v>39</v>
      </c>
      <c r="D20" s="3" t="s">
        <v>150</v>
      </c>
      <c r="E20" s="3" t="s">
        <v>150</v>
      </c>
      <c r="F20" s="3" t="s">
        <v>150</v>
      </c>
      <c r="G20" s="3" t="s">
        <v>150</v>
      </c>
      <c r="H20" s="3" t="s">
        <v>150</v>
      </c>
      <c r="I20" s="3" t="s">
        <v>150</v>
      </c>
      <c r="J20" s="3" t="s">
        <v>150</v>
      </c>
      <c r="K20" s="4" t="s">
        <v>128</v>
      </c>
    </row>
    <row r="21" spans="1:13" x14ac:dyDescent="0.25">
      <c r="A21" s="3" t="s">
        <v>260</v>
      </c>
      <c r="B21" s="3" t="s">
        <v>261</v>
      </c>
      <c r="C21" s="3" t="s">
        <v>39</v>
      </c>
      <c r="D21" s="3" t="s">
        <v>150</v>
      </c>
      <c r="E21" s="3" t="s">
        <v>150</v>
      </c>
      <c r="F21" s="3" t="s">
        <v>150</v>
      </c>
      <c r="G21" s="3" t="s">
        <v>150</v>
      </c>
      <c r="H21" s="3" t="s">
        <v>150</v>
      </c>
      <c r="I21" s="3" t="s">
        <v>150</v>
      </c>
      <c r="J21" s="3" t="s">
        <v>150</v>
      </c>
      <c r="K21" s="4" t="s">
        <v>128</v>
      </c>
    </row>
    <row r="23" spans="1:13" x14ac:dyDescent="0.25">
      <c r="D23" s="8" t="s">
        <v>137</v>
      </c>
      <c r="E23" s="8"/>
      <c r="F23" s="8"/>
      <c r="G23" s="8"/>
      <c r="H23" s="8"/>
      <c r="I23" s="8"/>
      <c r="J23" s="8"/>
    </row>
    <row r="24" spans="1:13" x14ac:dyDescent="0.25">
      <c r="A24" s="3" t="s">
        <v>27</v>
      </c>
      <c r="B24" s="3" t="s">
        <v>31</v>
      </c>
      <c r="C24" s="3" t="s">
        <v>28</v>
      </c>
      <c r="D24" s="3" t="s">
        <v>45</v>
      </c>
      <c r="E24" s="3" t="s">
        <v>46</v>
      </c>
      <c r="F24" s="3" t="s">
        <v>48</v>
      </c>
      <c r="G24" s="3" t="s">
        <v>53</v>
      </c>
      <c r="H24" s="3" t="s">
        <v>55</v>
      </c>
      <c r="I24" s="3" t="s">
        <v>140</v>
      </c>
      <c r="J24" s="3" t="s">
        <v>47</v>
      </c>
      <c r="K24" s="3" t="s">
        <v>63</v>
      </c>
      <c r="L24" s="3" t="s">
        <v>141</v>
      </c>
    </row>
    <row r="25" spans="1:13" x14ac:dyDescent="0.25">
      <c r="A25" s="3" t="s">
        <v>29</v>
      </c>
      <c r="B25" s="3" t="s">
        <v>44</v>
      </c>
      <c r="C25" s="3" t="s">
        <v>50</v>
      </c>
      <c r="D25" s="4">
        <v>3</v>
      </c>
      <c r="E25" s="4">
        <v>3</v>
      </c>
      <c r="F25" s="4"/>
      <c r="G25" s="4">
        <v>3</v>
      </c>
      <c r="H25" s="4"/>
      <c r="I25" s="4"/>
      <c r="J25" s="4">
        <v>3</v>
      </c>
      <c r="K25" s="4">
        <v>3</v>
      </c>
      <c r="L25" s="4">
        <v>3</v>
      </c>
    </row>
    <row r="26" spans="1:13" x14ac:dyDescent="0.25">
      <c r="A26" s="3" t="s">
        <v>30</v>
      </c>
      <c r="B26" s="3" t="s">
        <v>57</v>
      </c>
      <c r="C26" s="3" t="s">
        <v>50</v>
      </c>
      <c r="D26" s="4"/>
      <c r="E26" s="4"/>
      <c r="F26" s="4">
        <v>4</v>
      </c>
      <c r="G26" s="4"/>
      <c r="H26" s="4"/>
      <c r="I26" s="4"/>
      <c r="J26" s="4"/>
      <c r="K26" s="4">
        <v>4</v>
      </c>
      <c r="L26" s="4">
        <v>5</v>
      </c>
      <c r="M26" t="s">
        <v>279</v>
      </c>
    </row>
    <row r="27" spans="1:13" x14ac:dyDescent="0.25">
      <c r="A27" s="3" t="s">
        <v>32</v>
      </c>
      <c r="B27" s="3" t="s">
        <v>59</v>
      </c>
      <c r="C27" s="3" t="s">
        <v>50</v>
      </c>
      <c r="D27" s="4">
        <v>2</v>
      </c>
      <c r="E27" s="4">
        <v>2</v>
      </c>
      <c r="F27" s="4">
        <v>2</v>
      </c>
      <c r="G27" s="4">
        <v>2</v>
      </c>
      <c r="H27" s="4">
        <v>2</v>
      </c>
      <c r="I27" s="4"/>
      <c r="J27" s="4">
        <v>2</v>
      </c>
      <c r="K27" s="4">
        <v>2</v>
      </c>
      <c r="L27" s="4">
        <v>2</v>
      </c>
      <c r="M27" t="s">
        <v>263</v>
      </c>
    </row>
    <row r="28" spans="1:13" x14ac:dyDescent="0.25">
      <c r="A28" s="3" t="s">
        <v>33</v>
      </c>
      <c r="B28" s="3" t="s">
        <v>60</v>
      </c>
      <c r="C28" s="3" t="s">
        <v>50</v>
      </c>
      <c r="D28" s="4">
        <v>1</v>
      </c>
      <c r="E28" s="4">
        <v>1</v>
      </c>
      <c r="F28" s="4"/>
      <c r="G28" s="4">
        <v>1</v>
      </c>
      <c r="H28" s="4"/>
      <c r="I28" s="4">
        <v>1</v>
      </c>
      <c r="J28" s="4"/>
      <c r="K28" s="4">
        <v>1</v>
      </c>
      <c r="L28" s="4">
        <v>1</v>
      </c>
      <c r="M28" t="s">
        <v>264</v>
      </c>
    </row>
    <row r="29" spans="1:13" x14ac:dyDescent="0.25">
      <c r="A29" s="3" t="s">
        <v>126</v>
      </c>
      <c r="B29" s="3" t="s">
        <v>127</v>
      </c>
      <c r="C29" s="3" t="s">
        <v>50</v>
      </c>
      <c r="D29" s="4"/>
      <c r="E29" s="4"/>
      <c r="F29" s="4">
        <v>5</v>
      </c>
      <c r="G29" s="4"/>
      <c r="H29" s="4"/>
      <c r="I29" s="4"/>
      <c r="J29" s="4"/>
      <c r="K29" s="4">
        <v>5</v>
      </c>
      <c r="L29" s="4">
        <v>2</v>
      </c>
      <c r="M29" t="s">
        <v>282</v>
      </c>
    </row>
    <row r="30" spans="1:13" x14ac:dyDescent="0.25">
      <c r="A30" s="3" t="s">
        <v>34</v>
      </c>
      <c r="B30" s="3" t="s">
        <v>58</v>
      </c>
      <c r="C30" s="3" t="s">
        <v>50</v>
      </c>
      <c r="D30" s="4">
        <v>4</v>
      </c>
      <c r="E30" s="4"/>
      <c r="F30" s="4"/>
      <c r="G30" s="4">
        <v>4</v>
      </c>
      <c r="H30" s="4"/>
      <c r="I30" s="4"/>
      <c r="J30" s="4"/>
      <c r="K30" s="4">
        <f>K26</f>
        <v>4</v>
      </c>
      <c r="L30" s="4">
        <v>2</v>
      </c>
    </row>
    <row r="31" spans="1:13" x14ac:dyDescent="0.25">
      <c r="A31" s="3" t="s">
        <v>49</v>
      </c>
      <c r="B31" s="3" t="s">
        <v>56</v>
      </c>
      <c r="C31" s="3" t="s">
        <v>50</v>
      </c>
      <c r="D31" s="4"/>
      <c r="E31" s="4"/>
      <c r="F31" s="4"/>
      <c r="G31" s="4"/>
      <c r="H31" s="4"/>
      <c r="I31" s="4"/>
      <c r="J31" s="4">
        <v>5</v>
      </c>
      <c r="K31" s="4">
        <f>K29</f>
        <v>5</v>
      </c>
      <c r="L31" s="4">
        <v>1</v>
      </c>
      <c r="M31" t="s">
        <v>281</v>
      </c>
    </row>
    <row r="32" spans="1:13" x14ac:dyDescent="0.25">
      <c r="A32" s="3" t="s">
        <v>35</v>
      </c>
      <c r="B32" s="3" t="s">
        <v>43</v>
      </c>
      <c r="C32" s="3" t="s">
        <v>39</v>
      </c>
      <c r="D32" s="4"/>
      <c r="E32" s="4"/>
      <c r="F32" s="4"/>
      <c r="G32" s="4">
        <v>5</v>
      </c>
      <c r="H32" s="4"/>
      <c r="I32" s="4"/>
      <c r="J32" s="4"/>
      <c r="K32" s="4" t="s">
        <v>138</v>
      </c>
      <c r="L32" s="4" t="s">
        <v>151</v>
      </c>
    </row>
    <row r="33" spans="1:12" x14ac:dyDescent="0.25">
      <c r="A33" s="3" t="s">
        <v>36</v>
      </c>
      <c r="B33" s="3" t="s">
        <v>42</v>
      </c>
      <c r="C33" s="3" t="s">
        <v>39</v>
      </c>
      <c r="D33" s="4">
        <v>5</v>
      </c>
      <c r="E33" s="4" t="s">
        <v>136</v>
      </c>
      <c r="F33" s="4">
        <v>3</v>
      </c>
      <c r="G33" s="4">
        <v>5</v>
      </c>
      <c r="H33" s="4"/>
      <c r="I33" s="4"/>
      <c r="J33" s="4">
        <v>4</v>
      </c>
      <c r="K33" s="4" t="s">
        <v>128</v>
      </c>
      <c r="L33" s="4" t="s">
        <v>151</v>
      </c>
    </row>
    <row r="34" spans="1:12" x14ac:dyDescent="0.25">
      <c r="A34" s="3" t="s">
        <v>37</v>
      </c>
      <c r="B34" s="3" t="s">
        <v>41</v>
      </c>
      <c r="C34" s="3" t="s">
        <v>39</v>
      </c>
      <c r="D34" s="4">
        <v>5</v>
      </c>
      <c r="E34" s="4" t="s">
        <v>136</v>
      </c>
      <c r="F34" s="4">
        <v>3</v>
      </c>
      <c r="G34" s="4">
        <v>5</v>
      </c>
      <c r="H34" s="4"/>
      <c r="I34" s="4"/>
      <c r="J34" s="4">
        <v>4</v>
      </c>
      <c r="K34" s="4" t="s">
        <v>128</v>
      </c>
      <c r="L34" s="4" t="s">
        <v>151</v>
      </c>
    </row>
    <row r="35" spans="1:12" x14ac:dyDescent="0.25">
      <c r="A35" s="3" t="s">
        <v>38</v>
      </c>
      <c r="B35" s="3" t="s">
        <v>40</v>
      </c>
      <c r="C35" s="3" t="s">
        <v>39</v>
      </c>
      <c r="D35" s="4">
        <v>5</v>
      </c>
      <c r="E35" s="4" t="s">
        <v>136</v>
      </c>
      <c r="F35" s="4">
        <v>3</v>
      </c>
      <c r="G35" s="4">
        <v>5</v>
      </c>
      <c r="H35" s="4"/>
      <c r="I35" s="4"/>
      <c r="J35" s="4">
        <v>4</v>
      </c>
      <c r="K35" s="4" t="s">
        <v>128</v>
      </c>
      <c r="L35" s="4" t="s">
        <v>151</v>
      </c>
    </row>
    <row r="36" spans="1:12" x14ac:dyDescent="0.25">
      <c r="A36" s="3" t="s">
        <v>129</v>
      </c>
      <c r="B36" s="3" t="s">
        <v>130</v>
      </c>
      <c r="C36" s="3" t="s">
        <v>39</v>
      </c>
      <c r="D36" s="4">
        <v>5</v>
      </c>
      <c r="E36" s="4">
        <v>5</v>
      </c>
      <c r="F36" s="4">
        <v>1</v>
      </c>
      <c r="G36" s="4">
        <v>5</v>
      </c>
      <c r="H36" s="4"/>
      <c r="I36" s="4"/>
      <c r="J36" s="4">
        <v>1</v>
      </c>
      <c r="K36" s="4" t="s">
        <v>133</v>
      </c>
      <c r="L36" s="4" t="s">
        <v>152</v>
      </c>
    </row>
    <row r="37" spans="1:12" x14ac:dyDescent="0.25">
      <c r="A37" s="3" t="s">
        <v>135</v>
      </c>
      <c r="B37" s="3" t="s">
        <v>132</v>
      </c>
      <c r="C37" s="3" t="s">
        <v>39</v>
      </c>
      <c r="D37" s="4">
        <v>5</v>
      </c>
      <c r="E37" s="4">
        <v>5</v>
      </c>
      <c r="F37" s="4">
        <v>1</v>
      </c>
      <c r="G37" s="4">
        <v>5</v>
      </c>
      <c r="H37" s="4"/>
      <c r="I37" s="4"/>
      <c r="J37" s="4">
        <v>1</v>
      </c>
      <c r="K37" s="4" t="s">
        <v>133</v>
      </c>
      <c r="L37" s="4">
        <v>18</v>
      </c>
    </row>
    <row r="38" spans="1:12" x14ac:dyDescent="0.25">
      <c r="A38" s="3" t="s">
        <v>142</v>
      </c>
      <c r="B38" s="3" t="s">
        <v>146</v>
      </c>
      <c r="C38" s="3" t="s">
        <v>39</v>
      </c>
      <c r="D38" s="4">
        <v>5</v>
      </c>
      <c r="E38" s="4" t="s">
        <v>136</v>
      </c>
      <c r="F38" s="4">
        <v>3</v>
      </c>
      <c r="G38" s="4">
        <v>5</v>
      </c>
      <c r="H38" s="4"/>
      <c r="I38" s="4"/>
      <c r="J38" s="4">
        <v>4</v>
      </c>
      <c r="K38" s="4" t="s">
        <v>128</v>
      </c>
      <c r="L38" s="4" t="s">
        <v>151</v>
      </c>
    </row>
    <row r="39" spans="1:12" x14ac:dyDescent="0.25">
      <c r="A39" s="3" t="s">
        <v>145</v>
      </c>
      <c r="B39" s="3" t="s">
        <v>147</v>
      </c>
      <c r="C39" s="3" t="s">
        <v>39</v>
      </c>
      <c r="D39" s="4">
        <v>5</v>
      </c>
      <c r="E39" s="4" t="s">
        <v>136</v>
      </c>
      <c r="F39" s="4">
        <v>3</v>
      </c>
      <c r="G39" s="4">
        <v>5</v>
      </c>
      <c r="H39" s="4"/>
      <c r="I39" s="4"/>
      <c r="J39" s="4">
        <v>4</v>
      </c>
      <c r="K39" s="4" t="s">
        <v>128</v>
      </c>
      <c r="L39" s="4" t="s">
        <v>151</v>
      </c>
    </row>
    <row r="40" spans="1:12" x14ac:dyDescent="0.25">
      <c r="A40" s="3" t="s">
        <v>143</v>
      </c>
      <c r="B40" s="3" t="s">
        <v>148</v>
      </c>
      <c r="C40" s="3" t="s">
        <v>39</v>
      </c>
      <c r="D40" s="4">
        <v>5</v>
      </c>
      <c r="E40" s="4" t="s">
        <v>136</v>
      </c>
      <c r="F40" s="4">
        <v>3</v>
      </c>
      <c r="G40" s="4">
        <v>5</v>
      </c>
      <c r="H40" s="4"/>
      <c r="I40" s="4"/>
      <c r="J40" s="4">
        <v>4</v>
      </c>
      <c r="K40" s="4" t="s">
        <v>128</v>
      </c>
      <c r="L40" s="4" t="s">
        <v>151</v>
      </c>
    </row>
    <row r="41" spans="1:12" x14ac:dyDescent="0.25">
      <c r="A41" s="3" t="s">
        <v>144</v>
      </c>
      <c r="B41" s="3" t="s">
        <v>149</v>
      </c>
      <c r="C41" s="3" t="s">
        <v>39</v>
      </c>
      <c r="D41" s="4">
        <v>5</v>
      </c>
      <c r="E41" s="4" t="s">
        <v>136</v>
      </c>
      <c r="F41" s="4">
        <v>3</v>
      </c>
      <c r="G41" s="4">
        <v>5</v>
      </c>
      <c r="H41" s="4"/>
      <c r="I41" s="4"/>
      <c r="J41" s="4">
        <v>4</v>
      </c>
      <c r="K41" s="4" t="s">
        <v>128</v>
      </c>
      <c r="L41" s="4" t="s">
        <v>151</v>
      </c>
    </row>
    <row r="42" spans="1:12" x14ac:dyDescent="0.25">
      <c r="A42" s="3" t="s">
        <v>260</v>
      </c>
      <c r="B42" s="3" t="s">
        <v>261</v>
      </c>
      <c r="C42" s="3" t="s">
        <v>39</v>
      </c>
      <c r="D42" s="4">
        <v>5</v>
      </c>
      <c r="E42" s="4" t="s">
        <v>136</v>
      </c>
      <c r="F42" s="4">
        <v>3</v>
      </c>
      <c r="G42" s="4">
        <v>5</v>
      </c>
      <c r="H42" s="4"/>
      <c r="I42" s="4"/>
      <c r="J42" s="4">
        <v>4</v>
      </c>
      <c r="K42" s="4" t="s">
        <v>128</v>
      </c>
      <c r="L42" s="4" t="s">
        <v>151</v>
      </c>
    </row>
  </sheetData>
  <mergeCells count="2">
    <mergeCell ref="D2:J2"/>
    <mergeCell ref="D23:J23"/>
  </mergeCells>
  <conditionalFormatting sqref="C4:C21">
    <cfRule type="cellIs" dxfId="29" priority="28" operator="equal">
      <formula>"Slow"</formula>
    </cfRule>
    <cfRule type="cellIs" dxfId="28" priority="29" operator="equal">
      <formula>"Medium"</formula>
    </cfRule>
    <cfRule type="cellIs" dxfId="27" priority="30" operator="equal">
      <formula>"Fast"</formula>
    </cfRule>
  </conditionalFormatting>
  <conditionalFormatting sqref="C25:C42">
    <cfRule type="cellIs" dxfId="26" priority="4" operator="equal">
      <formula>"Slow"</formula>
    </cfRule>
    <cfRule type="cellIs" dxfId="25" priority="5" operator="equal">
      <formula>"Medium"</formula>
    </cfRule>
    <cfRule type="cellIs" dxfId="24" priority="6" operator="equal">
      <formula>"Fast"</formula>
    </cfRule>
  </conditionalFormatting>
  <conditionalFormatting sqref="D4:J14 D17:J21">
    <cfRule type="cellIs" dxfId="23" priority="31" operator="equal">
      <formula>"Protection"</formula>
    </cfRule>
    <cfRule type="cellIs" dxfId="22" priority="32" operator="equal">
      <formula>"Feedforward"</formula>
    </cfRule>
    <cfRule type="cellIs" dxfId="21" priority="33" operator="equal">
      <formula>"Control"</formula>
    </cfRule>
  </conditionalFormatting>
  <conditionalFormatting sqref="D25:J35 D36:D37 F36:G37 J37">
    <cfRule type="cellIs" dxfId="20" priority="25" operator="equal">
      <formula>"Protection"</formula>
    </cfRule>
    <cfRule type="cellIs" dxfId="19" priority="26" operator="equal">
      <formula>"Feedforward"</formula>
    </cfRule>
    <cfRule type="cellIs" dxfId="18" priority="27" operator="equal">
      <formula>"Control"</formula>
    </cfRule>
  </conditionalFormatting>
  <conditionalFormatting sqref="D38:J42">
    <cfRule type="cellIs" dxfId="17" priority="1" operator="equal">
      <formula>"Protection"</formula>
    </cfRule>
    <cfRule type="cellIs" dxfId="16" priority="2" operator="equal">
      <formula>"Feedforward"</formula>
    </cfRule>
    <cfRule type="cellIs" dxfId="15" priority="3" operator="equal">
      <formula>"Control"</formula>
    </cfRule>
  </conditionalFormatting>
  <pageMargins left="0.7" right="0.7" top="0.78740157499999996" bottom="0.78740157499999996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A037-9548-402F-BC0E-8D4800ECF5F2}">
  <dimension ref="A1:M42"/>
  <sheetViews>
    <sheetView tabSelected="1" workbookViewId="0">
      <selection activeCell="J33" sqref="J33"/>
    </sheetView>
  </sheetViews>
  <sheetFormatPr baseColWidth="10" defaultRowHeight="15" x14ac:dyDescent="0.25"/>
  <cols>
    <col min="1" max="1" width="23.28515625" bestFit="1" customWidth="1"/>
    <col min="2" max="2" width="34.85546875" bestFit="1" customWidth="1"/>
    <col min="3" max="3" width="6.28515625" bestFit="1" customWidth="1"/>
    <col min="4" max="4" width="13" bestFit="1" customWidth="1"/>
    <col min="5" max="5" width="12.85546875" bestFit="1" customWidth="1"/>
    <col min="6" max="6" width="12.42578125" bestFit="1" customWidth="1"/>
    <col min="7" max="7" width="13.28515625" customWidth="1"/>
    <col min="8" max="9" width="11.28515625" bestFit="1" customWidth="1"/>
    <col min="10" max="10" width="12" bestFit="1" customWidth="1"/>
    <col min="12" max="12" width="18" bestFit="1" customWidth="1"/>
  </cols>
  <sheetData>
    <row r="1" spans="1:11" x14ac:dyDescent="0.25">
      <c r="A1" t="s">
        <v>26</v>
      </c>
    </row>
    <row r="2" spans="1:11" x14ac:dyDescent="0.25">
      <c r="D2" s="8" t="s">
        <v>52</v>
      </c>
      <c r="E2" s="8"/>
      <c r="F2" s="8"/>
      <c r="G2" s="8"/>
      <c r="H2" s="8"/>
      <c r="I2" s="8"/>
      <c r="J2" s="8"/>
    </row>
    <row r="3" spans="1:11" x14ac:dyDescent="0.25">
      <c r="A3" s="3" t="s">
        <v>27</v>
      </c>
      <c r="B3" s="3" t="s">
        <v>31</v>
      </c>
      <c r="C3" s="3" t="s">
        <v>28</v>
      </c>
      <c r="D3" s="3" t="s">
        <v>45</v>
      </c>
      <c r="E3" s="3" t="s">
        <v>46</v>
      </c>
      <c r="F3" s="3" t="s">
        <v>48</v>
      </c>
      <c r="G3" s="3" t="s">
        <v>53</v>
      </c>
      <c r="H3" s="3" t="s">
        <v>55</v>
      </c>
      <c r="I3" s="3" t="s">
        <v>140</v>
      </c>
      <c r="J3" s="3" t="s">
        <v>47</v>
      </c>
      <c r="K3" s="3" t="s">
        <v>63</v>
      </c>
    </row>
    <row r="4" spans="1:11" x14ac:dyDescent="0.25">
      <c r="A4" s="3" t="s">
        <v>29</v>
      </c>
      <c r="B4" s="3" t="s">
        <v>44</v>
      </c>
      <c r="C4" s="3" t="s">
        <v>50</v>
      </c>
      <c r="D4" s="3" t="s">
        <v>61</v>
      </c>
      <c r="E4" s="3" t="s">
        <v>61</v>
      </c>
      <c r="F4" s="3"/>
      <c r="G4" s="3" t="s">
        <v>61</v>
      </c>
      <c r="H4" s="3"/>
      <c r="I4" s="3"/>
      <c r="J4" s="3" t="s">
        <v>51</v>
      </c>
      <c r="K4" s="4">
        <v>3</v>
      </c>
    </row>
    <row r="5" spans="1:11" x14ac:dyDescent="0.25">
      <c r="A5" s="3" t="s">
        <v>30</v>
      </c>
      <c r="B5" s="3" t="s">
        <v>57</v>
      </c>
      <c r="C5" s="3" t="s">
        <v>50</v>
      </c>
      <c r="D5" s="3"/>
      <c r="E5" s="3"/>
      <c r="F5" s="3" t="s">
        <v>51</v>
      </c>
      <c r="G5" s="3"/>
      <c r="H5" s="3"/>
      <c r="I5" s="3"/>
      <c r="J5" s="3"/>
      <c r="K5" s="4">
        <v>4</v>
      </c>
    </row>
    <row r="6" spans="1:11" x14ac:dyDescent="0.25">
      <c r="A6" s="3" t="s">
        <v>32</v>
      </c>
      <c r="B6" s="3" t="s">
        <v>59</v>
      </c>
      <c r="C6" s="3" t="s">
        <v>50</v>
      </c>
      <c r="D6" s="3" t="s">
        <v>51</v>
      </c>
      <c r="E6" s="3" t="s">
        <v>51</v>
      </c>
      <c r="F6" s="3" t="s">
        <v>51</v>
      </c>
      <c r="G6" s="3" t="s">
        <v>61</v>
      </c>
      <c r="H6" s="3" t="s">
        <v>139</v>
      </c>
      <c r="I6" s="3"/>
      <c r="J6" s="3" t="s">
        <v>61</v>
      </c>
      <c r="K6" s="4">
        <v>2</v>
      </c>
    </row>
    <row r="7" spans="1:11" x14ac:dyDescent="0.25">
      <c r="A7" s="3" t="s">
        <v>33</v>
      </c>
      <c r="B7" s="3" t="s">
        <v>60</v>
      </c>
      <c r="C7" s="3" t="s">
        <v>50</v>
      </c>
      <c r="D7" s="3" t="s">
        <v>51</v>
      </c>
      <c r="E7" s="3" t="s">
        <v>51</v>
      </c>
      <c r="F7" s="3"/>
      <c r="G7" s="3" t="s">
        <v>51</v>
      </c>
      <c r="H7" s="3"/>
      <c r="I7" s="3" t="s">
        <v>139</v>
      </c>
      <c r="J7" s="3"/>
      <c r="K7" s="4">
        <v>1</v>
      </c>
    </row>
    <row r="8" spans="1:11" x14ac:dyDescent="0.25">
      <c r="A8" s="3" t="s">
        <v>126</v>
      </c>
      <c r="B8" s="3" t="s">
        <v>127</v>
      </c>
      <c r="C8" s="3" t="s">
        <v>50</v>
      </c>
      <c r="D8" s="3"/>
      <c r="E8" s="3"/>
      <c r="F8" s="3" t="s">
        <v>51</v>
      </c>
      <c r="G8" s="3"/>
      <c r="H8" s="3"/>
      <c r="I8" s="3"/>
      <c r="J8" s="3"/>
      <c r="K8" s="6">
        <v>3</v>
      </c>
    </row>
    <row r="9" spans="1:11" x14ac:dyDescent="0.25">
      <c r="A9" s="3" t="s">
        <v>34</v>
      </c>
      <c r="B9" s="3" t="s">
        <v>58</v>
      </c>
      <c r="C9" s="3" t="s">
        <v>50</v>
      </c>
      <c r="D9" s="3" t="s">
        <v>54</v>
      </c>
      <c r="E9" s="3"/>
      <c r="F9" s="3"/>
      <c r="G9" s="3" t="s">
        <v>51</v>
      </c>
      <c r="H9" s="3"/>
      <c r="I9" s="3"/>
      <c r="J9" s="3"/>
      <c r="K9" s="4">
        <f>K5</f>
        <v>4</v>
      </c>
    </row>
    <row r="10" spans="1:11" x14ac:dyDescent="0.25">
      <c r="A10" s="3" t="s">
        <v>49</v>
      </c>
      <c r="B10" s="3" t="s">
        <v>56</v>
      </c>
      <c r="C10" s="3" t="s">
        <v>50</v>
      </c>
      <c r="D10" s="3"/>
      <c r="E10" s="3"/>
      <c r="F10" s="3"/>
      <c r="G10" s="3"/>
      <c r="H10" s="3"/>
      <c r="I10" s="3"/>
      <c r="J10" s="3" t="s">
        <v>51</v>
      </c>
      <c r="K10" s="6">
        <v>2</v>
      </c>
    </row>
    <row r="11" spans="1:11" x14ac:dyDescent="0.25">
      <c r="A11" s="3" t="s">
        <v>35</v>
      </c>
      <c r="B11" s="3" t="s">
        <v>43</v>
      </c>
      <c r="C11" s="3" t="s">
        <v>39</v>
      </c>
      <c r="D11" s="3"/>
      <c r="E11" s="3"/>
      <c r="F11" s="3"/>
      <c r="G11" s="3" t="s">
        <v>54</v>
      </c>
      <c r="H11" s="3"/>
      <c r="I11" s="3"/>
      <c r="J11" s="3"/>
      <c r="K11" s="4" t="s">
        <v>128</v>
      </c>
    </row>
    <row r="12" spans="1:11" x14ac:dyDescent="0.25">
      <c r="A12" s="3" t="s">
        <v>36</v>
      </c>
      <c r="B12" s="3" t="s">
        <v>42</v>
      </c>
      <c r="C12" s="3" t="s">
        <v>39</v>
      </c>
      <c r="D12" s="3" t="s">
        <v>54</v>
      </c>
      <c r="E12" s="3" t="s">
        <v>54</v>
      </c>
      <c r="F12" s="3" t="s">
        <v>54</v>
      </c>
      <c r="G12" s="3" t="s">
        <v>54</v>
      </c>
      <c r="H12" s="3"/>
      <c r="I12" s="3"/>
      <c r="J12" s="3" t="s">
        <v>54</v>
      </c>
      <c r="K12" s="4" t="s">
        <v>128</v>
      </c>
    </row>
    <row r="13" spans="1:11" x14ac:dyDescent="0.25">
      <c r="A13" s="3" t="s">
        <v>37</v>
      </c>
      <c r="B13" s="3" t="s">
        <v>41</v>
      </c>
      <c r="C13" s="3" t="s">
        <v>39</v>
      </c>
      <c r="D13" s="3" t="s">
        <v>54</v>
      </c>
      <c r="E13" s="3" t="s">
        <v>54</v>
      </c>
      <c r="F13" s="3" t="s">
        <v>54</v>
      </c>
      <c r="G13" s="3" t="s">
        <v>54</v>
      </c>
      <c r="H13" s="3"/>
      <c r="I13" s="3"/>
      <c r="J13" s="3" t="s">
        <v>54</v>
      </c>
      <c r="K13" s="4" t="s">
        <v>128</v>
      </c>
    </row>
    <row r="14" spans="1:11" x14ac:dyDescent="0.25">
      <c r="A14" s="3" t="s">
        <v>38</v>
      </c>
      <c r="B14" s="3" t="s">
        <v>40</v>
      </c>
      <c r="C14" s="3" t="s">
        <v>39</v>
      </c>
      <c r="D14" s="3" t="s">
        <v>54</v>
      </c>
      <c r="E14" s="3" t="s">
        <v>54</v>
      </c>
      <c r="F14" s="3" t="s">
        <v>54</v>
      </c>
      <c r="G14" s="3" t="s">
        <v>54</v>
      </c>
      <c r="H14" s="3"/>
      <c r="I14" s="3"/>
      <c r="J14" s="3" t="s">
        <v>54</v>
      </c>
      <c r="K14" s="4" t="s">
        <v>128</v>
      </c>
    </row>
    <row r="15" spans="1:11" x14ac:dyDescent="0.25">
      <c r="A15" s="3" t="s">
        <v>129</v>
      </c>
      <c r="B15" s="3" t="s">
        <v>130</v>
      </c>
      <c r="C15" s="3" t="s">
        <v>39</v>
      </c>
      <c r="D15" s="3"/>
      <c r="E15" s="3"/>
      <c r="F15" s="3"/>
      <c r="G15" s="3"/>
      <c r="H15" s="3"/>
      <c r="I15" s="3"/>
      <c r="J15" s="3"/>
      <c r="K15" s="4" t="s">
        <v>133</v>
      </c>
    </row>
    <row r="16" spans="1:11" x14ac:dyDescent="0.25">
      <c r="A16" s="3" t="s">
        <v>135</v>
      </c>
      <c r="B16" s="3" t="s">
        <v>131</v>
      </c>
      <c r="C16" s="3" t="s">
        <v>39</v>
      </c>
      <c r="D16" s="3" t="s">
        <v>150</v>
      </c>
      <c r="E16" s="3" t="s">
        <v>150</v>
      </c>
      <c r="F16" s="3" t="s">
        <v>150</v>
      </c>
      <c r="G16" s="3" t="s">
        <v>150</v>
      </c>
      <c r="H16" s="3" t="s">
        <v>150</v>
      </c>
      <c r="I16" s="3" t="s">
        <v>150</v>
      </c>
      <c r="J16" s="3" t="s">
        <v>150</v>
      </c>
      <c r="K16" s="4" t="s">
        <v>134</v>
      </c>
    </row>
    <row r="17" spans="1:13" x14ac:dyDescent="0.25">
      <c r="A17" s="3" t="s">
        <v>142</v>
      </c>
      <c r="B17" s="3" t="s">
        <v>146</v>
      </c>
      <c r="C17" s="3" t="s">
        <v>39</v>
      </c>
      <c r="D17" s="3" t="s">
        <v>150</v>
      </c>
      <c r="E17" s="3" t="s">
        <v>150</v>
      </c>
      <c r="F17" s="3" t="s">
        <v>150</v>
      </c>
      <c r="G17" s="3" t="s">
        <v>150</v>
      </c>
      <c r="H17" s="3" t="s">
        <v>150</v>
      </c>
      <c r="I17" s="3" t="s">
        <v>150</v>
      </c>
      <c r="J17" s="3" t="s">
        <v>150</v>
      </c>
      <c r="K17" s="4" t="s">
        <v>128</v>
      </c>
    </row>
    <row r="18" spans="1:13" x14ac:dyDescent="0.25">
      <c r="A18" s="3" t="s">
        <v>145</v>
      </c>
      <c r="B18" s="3" t="s">
        <v>147</v>
      </c>
      <c r="C18" s="3" t="s">
        <v>39</v>
      </c>
      <c r="D18" s="3" t="s">
        <v>150</v>
      </c>
      <c r="E18" s="3" t="s">
        <v>150</v>
      </c>
      <c r="F18" s="3" t="s">
        <v>150</v>
      </c>
      <c r="G18" s="3" t="s">
        <v>150</v>
      </c>
      <c r="H18" s="3" t="s">
        <v>150</v>
      </c>
      <c r="I18" s="3" t="s">
        <v>150</v>
      </c>
      <c r="J18" s="3" t="s">
        <v>150</v>
      </c>
      <c r="K18" s="4" t="s">
        <v>128</v>
      </c>
    </row>
    <row r="19" spans="1:13" x14ac:dyDescent="0.25">
      <c r="A19" s="3" t="s">
        <v>143</v>
      </c>
      <c r="B19" s="3" t="s">
        <v>148</v>
      </c>
      <c r="C19" s="3" t="s">
        <v>39</v>
      </c>
      <c r="D19" s="3" t="s">
        <v>150</v>
      </c>
      <c r="E19" s="3" t="s">
        <v>150</v>
      </c>
      <c r="F19" s="3" t="s">
        <v>150</v>
      </c>
      <c r="G19" s="3" t="s">
        <v>150</v>
      </c>
      <c r="H19" s="3" t="s">
        <v>150</v>
      </c>
      <c r="I19" s="3" t="s">
        <v>150</v>
      </c>
      <c r="J19" s="3" t="s">
        <v>150</v>
      </c>
      <c r="K19" s="4" t="s">
        <v>128</v>
      </c>
    </row>
    <row r="20" spans="1:13" x14ac:dyDescent="0.25">
      <c r="A20" s="3" t="s">
        <v>144</v>
      </c>
      <c r="B20" s="3" t="s">
        <v>149</v>
      </c>
      <c r="C20" s="3" t="s">
        <v>39</v>
      </c>
      <c r="D20" s="3" t="s">
        <v>150</v>
      </c>
      <c r="E20" s="3" t="s">
        <v>150</v>
      </c>
      <c r="F20" s="3" t="s">
        <v>150</v>
      </c>
      <c r="G20" s="3" t="s">
        <v>150</v>
      </c>
      <c r="H20" s="3" t="s">
        <v>150</v>
      </c>
      <c r="I20" s="3" t="s">
        <v>150</v>
      </c>
      <c r="J20" s="3" t="s">
        <v>150</v>
      </c>
      <c r="K20" s="4" t="s">
        <v>128</v>
      </c>
    </row>
    <row r="21" spans="1:13" x14ac:dyDescent="0.25">
      <c r="A21" s="3" t="s">
        <v>260</v>
      </c>
      <c r="B21" s="3" t="s">
        <v>261</v>
      </c>
      <c r="C21" s="3" t="s">
        <v>39</v>
      </c>
      <c r="D21" s="3" t="s">
        <v>150</v>
      </c>
      <c r="E21" s="3" t="s">
        <v>150</v>
      </c>
      <c r="F21" s="3" t="s">
        <v>150</v>
      </c>
      <c r="G21" s="3" t="s">
        <v>150</v>
      </c>
      <c r="H21" s="3" t="s">
        <v>150</v>
      </c>
      <c r="I21" s="3" t="s">
        <v>150</v>
      </c>
      <c r="J21" s="3" t="s">
        <v>150</v>
      </c>
      <c r="K21" s="4" t="s">
        <v>128</v>
      </c>
    </row>
    <row r="23" spans="1:13" x14ac:dyDescent="0.25">
      <c r="D23" s="8" t="s">
        <v>137</v>
      </c>
      <c r="E23" s="8"/>
      <c r="F23" s="8"/>
      <c r="G23" s="8"/>
      <c r="H23" s="8"/>
      <c r="I23" s="8"/>
      <c r="J23" s="8"/>
    </row>
    <row r="24" spans="1:13" x14ac:dyDescent="0.25">
      <c r="A24" s="3" t="s">
        <v>27</v>
      </c>
      <c r="B24" s="3" t="s">
        <v>31</v>
      </c>
      <c r="C24" s="3" t="s">
        <v>28</v>
      </c>
      <c r="D24" s="3" t="s">
        <v>45</v>
      </c>
      <c r="E24" s="3" t="s">
        <v>46</v>
      </c>
      <c r="F24" s="3" t="s">
        <v>48</v>
      </c>
      <c r="G24" s="3" t="s">
        <v>53</v>
      </c>
      <c r="H24" s="3" t="s">
        <v>55</v>
      </c>
      <c r="I24" s="3" t="s">
        <v>140</v>
      </c>
      <c r="J24" s="3" t="s">
        <v>47</v>
      </c>
      <c r="K24" s="3" t="s">
        <v>63</v>
      </c>
      <c r="L24" s="3" t="s">
        <v>141</v>
      </c>
    </row>
    <row r="25" spans="1:13" x14ac:dyDescent="0.25">
      <c r="A25" s="3" t="s">
        <v>29</v>
      </c>
      <c r="B25" s="3" t="s">
        <v>44</v>
      </c>
      <c r="C25" s="3" t="s">
        <v>50</v>
      </c>
      <c r="D25" s="4">
        <v>3</v>
      </c>
      <c r="E25" s="4">
        <v>3</v>
      </c>
      <c r="F25" s="4"/>
      <c r="G25" s="4">
        <v>3</v>
      </c>
      <c r="H25" s="4"/>
      <c r="I25" s="4"/>
      <c r="J25" s="4">
        <v>3</v>
      </c>
      <c r="K25" s="4">
        <v>3</v>
      </c>
      <c r="L25" s="4">
        <v>3</v>
      </c>
    </row>
    <row r="26" spans="1:13" x14ac:dyDescent="0.25">
      <c r="A26" s="3" t="s">
        <v>30</v>
      </c>
      <c r="B26" s="3" t="s">
        <v>57</v>
      </c>
      <c r="C26" s="3" t="s">
        <v>50</v>
      </c>
      <c r="D26" s="4"/>
      <c r="E26" s="4"/>
      <c r="F26" s="4">
        <v>4</v>
      </c>
      <c r="G26" s="4"/>
      <c r="H26" s="4"/>
      <c r="I26" s="4"/>
      <c r="J26" s="4"/>
      <c r="K26" s="4">
        <v>4</v>
      </c>
      <c r="L26" s="4">
        <v>5</v>
      </c>
      <c r="M26" t="s">
        <v>279</v>
      </c>
    </row>
    <row r="27" spans="1:13" x14ac:dyDescent="0.25">
      <c r="A27" s="3" t="s">
        <v>32</v>
      </c>
      <c r="B27" s="3" t="s">
        <v>59</v>
      </c>
      <c r="C27" s="3" t="s">
        <v>50</v>
      </c>
      <c r="D27" s="4">
        <v>2</v>
      </c>
      <c r="E27" s="4">
        <v>2</v>
      </c>
      <c r="F27" s="4">
        <v>2</v>
      </c>
      <c r="G27" s="4">
        <v>2</v>
      </c>
      <c r="H27" s="4">
        <v>2</v>
      </c>
      <c r="I27" s="4"/>
      <c r="J27" s="4">
        <v>2</v>
      </c>
      <c r="K27" s="4">
        <v>2</v>
      </c>
      <c r="L27" s="4">
        <v>2</v>
      </c>
      <c r="M27" t="s">
        <v>263</v>
      </c>
    </row>
    <row r="28" spans="1:13" x14ac:dyDescent="0.25">
      <c r="A28" s="3" t="s">
        <v>33</v>
      </c>
      <c r="B28" s="3" t="s">
        <v>60</v>
      </c>
      <c r="C28" s="3" t="s">
        <v>50</v>
      </c>
      <c r="D28" s="4">
        <v>1</v>
      </c>
      <c r="E28" s="4">
        <v>1</v>
      </c>
      <c r="F28" s="4"/>
      <c r="G28" s="4">
        <v>1</v>
      </c>
      <c r="H28" s="4"/>
      <c r="I28" s="4">
        <v>1</v>
      </c>
      <c r="J28" s="4"/>
      <c r="K28" s="4">
        <v>1</v>
      </c>
      <c r="L28" s="4">
        <v>1</v>
      </c>
      <c r="M28" t="s">
        <v>264</v>
      </c>
    </row>
    <row r="29" spans="1:13" x14ac:dyDescent="0.25">
      <c r="A29" s="3" t="s">
        <v>126</v>
      </c>
      <c r="B29" s="3" t="s">
        <v>127</v>
      </c>
      <c r="C29" s="3" t="s">
        <v>50</v>
      </c>
      <c r="D29" s="4"/>
      <c r="E29" s="4"/>
      <c r="F29" s="4">
        <v>2</v>
      </c>
      <c r="G29" s="4"/>
      <c r="H29" s="4"/>
      <c r="I29" s="4"/>
      <c r="J29" s="4"/>
      <c r="K29" s="4">
        <v>2</v>
      </c>
      <c r="L29" s="7" t="s">
        <v>283</v>
      </c>
    </row>
    <row r="30" spans="1:13" x14ac:dyDescent="0.25">
      <c r="A30" s="3" t="s">
        <v>34</v>
      </c>
      <c r="B30" s="3" t="s">
        <v>58</v>
      </c>
      <c r="C30" s="3" t="s">
        <v>50</v>
      </c>
      <c r="D30" s="4">
        <v>4</v>
      </c>
      <c r="E30" s="4"/>
      <c r="F30" s="4"/>
      <c r="G30" s="4">
        <v>4</v>
      </c>
      <c r="H30" s="4"/>
      <c r="I30" s="4"/>
      <c r="J30" s="4"/>
      <c r="K30" s="4">
        <f>K26</f>
        <v>4</v>
      </c>
      <c r="L30" s="4">
        <v>2</v>
      </c>
    </row>
    <row r="31" spans="1:13" x14ac:dyDescent="0.25">
      <c r="A31" s="3" t="s">
        <v>49</v>
      </c>
      <c r="B31" s="3" t="s">
        <v>56</v>
      </c>
      <c r="C31" s="3" t="s">
        <v>50</v>
      </c>
      <c r="D31" s="4"/>
      <c r="E31" s="4"/>
      <c r="F31" s="4"/>
      <c r="G31" s="4"/>
      <c r="H31" s="4"/>
      <c r="I31" s="4"/>
      <c r="J31" s="4">
        <v>2</v>
      </c>
      <c r="K31" s="4">
        <f>K29</f>
        <v>2</v>
      </c>
      <c r="L31" s="4">
        <v>5</v>
      </c>
    </row>
    <row r="32" spans="1:13" x14ac:dyDescent="0.25">
      <c r="A32" s="3" t="s">
        <v>35</v>
      </c>
      <c r="B32" s="3" t="s">
        <v>43</v>
      </c>
      <c r="C32" s="3" t="s">
        <v>39</v>
      </c>
      <c r="D32" s="4"/>
      <c r="E32" s="4"/>
      <c r="F32" s="4"/>
      <c r="G32" s="4">
        <v>5</v>
      </c>
      <c r="H32" s="4"/>
      <c r="I32" s="4"/>
      <c r="J32" s="4"/>
      <c r="K32" s="4" t="s">
        <v>138</v>
      </c>
      <c r="L32" s="4" t="s">
        <v>151</v>
      </c>
    </row>
    <row r="33" spans="1:12" x14ac:dyDescent="0.25">
      <c r="A33" s="3" t="s">
        <v>36</v>
      </c>
      <c r="B33" s="3" t="s">
        <v>42</v>
      </c>
      <c r="C33" s="3" t="s">
        <v>39</v>
      </c>
      <c r="D33" s="4">
        <v>5</v>
      </c>
      <c r="E33" s="4" t="s">
        <v>136</v>
      </c>
      <c r="F33" s="4">
        <v>3</v>
      </c>
      <c r="G33" s="4">
        <v>5</v>
      </c>
      <c r="H33" s="4"/>
      <c r="I33" s="4"/>
      <c r="J33" s="4">
        <v>4</v>
      </c>
      <c r="K33" s="4" t="s">
        <v>128</v>
      </c>
      <c r="L33" s="4" t="s">
        <v>151</v>
      </c>
    </row>
    <row r="34" spans="1:12" x14ac:dyDescent="0.25">
      <c r="A34" s="3" t="s">
        <v>37</v>
      </c>
      <c r="B34" s="3" t="s">
        <v>41</v>
      </c>
      <c r="C34" s="3" t="s">
        <v>39</v>
      </c>
      <c r="D34" s="4">
        <v>5</v>
      </c>
      <c r="E34" s="4" t="s">
        <v>136</v>
      </c>
      <c r="F34" s="4">
        <v>3</v>
      </c>
      <c r="G34" s="4">
        <v>5</v>
      </c>
      <c r="H34" s="4"/>
      <c r="I34" s="4"/>
      <c r="J34" s="4">
        <v>4</v>
      </c>
      <c r="K34" s="4" t="s">
        <v>128</v>
      </c>
      <c r="L34" s="4" t="s">
        <v>151</v>
      </c>
    </row>
    <row r="35" spans="1:12" x14ac:dyDescent="0.25">
      <c r="A35" s="3" t="s">
        <v>38</v>
      </c>
      <c r="B35" s="3" t="s">
        <v>40</v>
      </c>
      <c r="C35" s="3" t="s">
        <v>39</v>
      </c>
      <c r="D35" s="4">
        <v>5</v>
      </c>
      <c r="E35" s="4" t="s">
        <v>136</v>
      </c>
      <c r="F35" s="4">
        <v>3</v>
      </c>
      <c r="G35" s="4">
        <v>5</v>
      </c>
      <c r="H35" s="4"/>
      <c r="I35" s="4"/>
      <c r="J35" s="4">
        <v>4</v>
      </c>
      <c r="K35" s="4" t="s">
        <v>128</v>
      </c>
      <c r="L35" s="4" t="s">
        <v>151</v>
      </c>
    </row>
    <row r="36" spans="1:12" x14ac:dyDescent="0.25">
      <c r="A36" s="3" t="s">
        <v>129</v>
      </c>
      <c r="B36" s="3" t="s">
        <v>130</v>
      </c>
      <c r="C36" s="3" t="s">
        <v>39</v>
      </c>
      <c r="D36" s="4">
        <v>5</v>
      </c>
      <c r="E36" s="4">
        <v>5</v>
      </c>
      <c r="F36" s="4">
        <v>1</v>
      </c>
      <c r="G36" s="4">
        <v>5</v>
      </c>
      <c r="H36" s="4"/>
      <c r="I36" s="4"/>
      <c r="J36" s="4">
        <v>1</v>
      </c>
      <c r="K36" s="4" t="s">
        <v>133</v>
      </c>
      <c r="L36" s="4" t="s">
        <v>152</v>
      </c>
    </row>
    <row r="37" spans="1:12" x14ac:dyDescent="0.25">
      <c r="A37" s="3" t="s">
        <v>135</v>
      </c>
      <c r="B37" s="3" t="s">
        <v>132</v>
      </c>
      <c r="C37" s="3" t="s">
        <v>39</v>
      </c>
      <c r="D37" s="4">
        <v>5</v>
      </c>
      <c r="E37" s="4">
        <v>5</v>
      </c>
      <c r="F37" s="4">
        <v>1</v>
      </c>
      <c r="G37" s="4">
        <v>5</v>
      </c>
      <c r="H37" s="4"/>
      <c r="I37" s="4"/>
      <c r="J37" s="4">
        <v>1</v>
      </c>
      <c r="K37" s="4" t="s">
        <v>133</v>
      </c>
      <c r="L37" s="4">
        <v>18</v>
      </c>
    </row>
    <row r="38" spans="1:12" x14ac:dyDescent="0.25">
      <c r="A38" s="3" t="s">
        <v>142</v>
      </c>
      <c r="B38" s="3" t="s">
        <v>146</v>
      </c>
      <c r="C38" s="3" t="s">
        <v>39</v>
      </c>
      <c r="D38" s="4">
        <v>5</v>
      </c>
      <c r="E38" s="4" t="s">
        <v>136</v>
      </c>
      <c r="F38" s="4">
        <v>3</v>
      </c>
      <c r="G38" s="4">
        <v>5</v>
      </c>
      <c r="H38" s="4"/>
      <c r="I38" s="4"/>
      <c r="J38" s="4">
        <v>4</v>
      </c>
      <c r="K38" s="4" t="s">
        <v>128</v>
      </c>
      <c r="L38" s="4" t="s">
        <v>151</v>
      </c>
    </row>
    <row r="39" spans="1:12" x14ac:dyDescent="0.25">
      <c r="A39" s="3" t="s">
        <v>145</v>
      </c>
      <c r="B39" s="3" t="s">
        <v>147</v>
      </c>
      <c r="C39" s="3" t="s">
        <v>39</v>
      </c>
      <c r="D39" s="4">
        <v>5</v>
      </c>
      <c r="E39" s="4" t="s">
        <v>136</v>
      </c>
      <c r="F39" s="4">
        <v>3</v>
      </c>
      <c r="G39" s="4">
        <v>5</v>
      </c>
      <c r="H39" s="4"/>
      <c r="I39" s="4"/>
      <c r="J39" s="4">
        <v>4</v>
      </c>
      <c r="K39" s="4" t="s">
        <v>128</v>
      </c>
      <c r="L39" s="4" t="s">
        <v>151</v>
      </c>
    </row>
    <row r="40" spans="1:12" x14ac:dyDescent="0.25">
      <c r="A40" s="3" t="s">
        <v>143</v>
      </c>
      <c r="B40" s="3" t="s">
        <v>148</v>
      </c>
      <c r="C40" s="3" t="s">
        <v>39</v>
      </c>
      <c r="D40" s="4">
        <v>5</v>
      </c>
      <c r="E40" s="4" t="s">
        <v>136</v>
      </c>
      <c r="F40" s="4">
        <v>3</v>
      </c>
      <c r="G40" s="4">
        <v>5</v>
      </c>
      <c r="H40" s="4"/>
      <c r="I40" s="4"/>
      <c r="J40" s="4">
        <v>4</v>
      </c>
      <c r="K40" s="4" t="s">
        <v>128</v>
      </c>
      <c r="L40" s="4" t="s">
        <v>151</v>
      </c>
    </row>
    <row r="41" spans="1:12" x14ac:dyDescent="0.25">
      <c r="A41" s="3" t="s">
        <v>144</v>
      </c>
      <c r="B41" s="3" t="s">
        <v>149</v>
      </c>
      <c r="C41" s="3" t="s">
        <v>39</v>
      </c>
      <c r="D41" s="4">
        <v>5</v>
      </c>
      <c r="E41" s="4" t="s">
        <v>136</v>
      </c>
      <c r="F41" s="4">
        <v>3</v>
      </c>
      <c r="G41" s="4">
        <v>5</v>
      </c>
      <c r="H41" s="4"/>
      <c r="I41" s="4"/>
      <c r="J41" s="4">
        <v>4</v>
      </c>
      <c r="K41" s="4" t="s">
        <v>128</v>
      </c>
      <c r="L41" s="4" t="s">
        <v>151</v>
      </c>
    </row>
    <row r="42" spans="1:12" x14ac:dyDescent="0.25">
      <c r="A42" s="3" t="s">
        <v>260</v>
      </c>
      <c r="B42" s="3" t="s">
        <v>261</v>
      </c>
      <c r="C42" s="3" t="s">
        <v>39</v>
      </c>
      <c r="D42" s="4">
        <v>5</v>
      </c>
      <c r="E42" s="4" t="s">
        <v>136</v>
      </c>
      <c r="F42" s="4">
        <v>3</v>
      </c>
      <c r="G42" s="4">
        <v>5</v>
      </c>
      <c r="H42" s="4"/>
      <c r="I42" s="4"/>
      <c r="J42" s="4">
        <v>4</v>
      </c>
      <c r="K42" s="4" t="s">
        <v>128</v>
      </c>
      <c r="L42" s="4" t="s">
        <v>151</v>
      </c>
    </row>
  </sheetData>
  <mergeCells count="2">
    <mergeCell ref="D2:J2"/>
    <mergeCell ref="D23:J23"/>
  </mergeCells>
  <conditionalFormatting sqref="C4:C21">
    <cfRule type="cellIs" dxfId="14" priority="10" operator="equal">
      <formula>"Slow"</formula>
    </cfRule>
    <cfRule type="cellIs" dxfId="13" priority="11" operator="equal">
      <formula>"Medium"</formula>
    </cfRule>
    <cfRule type="cellIs" dxfId="12" priority="12" operator="equal">
      <formula>"Fast"</formula>
    </cfRule>
  </conditionalFormatting>
  <conditionalFormatting sqref="C25:C42">
    <cfRule type="cellIs" dxfId="11" priority="4" operator="equal">
      <formula>"Slow"</formula>
    </cfRule>
    <cfRule type="cellIs" dxfId="10" priority="5" operator="equal">
      <formula>"Medium"</formula>
    </cfRule>
    <cfRule type="cellIs" dxfId="9" priority="6" operator="equal">
      <formula>"Fast"</formula>
    </cfRule>
  </conditionalFormatting>
  <conditionalFormatting sqref="D4:J14 D17:J21">
    <cfRule type="cellIs" dxfId="8" priority="13" operator="equal">
      <formula>"Protection"</formula>
    </cfRule>
    <cfRule type="cellIs" dxfId="7" priority="14" operator="equal">
      <formula>"Feedforward"</formula>
    </cfRule>
    <cfRule type="cellIs" dxfId="6" priority="15" operator="equal">
      <formula>"Control"</formula>
    </cfRule>
  </conditionalFormatting>
  <conditionalFormatting sqref="D25:J35 D36:D37 F36:G37 J37">
    <cfRule type="cellIs" dxfId="5" priority="7" operator="equal">
      <formula>"Protection"</formula>
    </cfRule>
    <cfRule type="cellIs" dxfId="4" priority="8" operator="equal">
      <formula>"Feedforward"</formula>
    </cfRule>
    <cfRule type="cellIs" dxfId="3" priority="9" operator="equal">
      <formula>"Control"</formula>
    </cfRule>
  </conditionalFormatting>
  <conditionalFormatting sqref="D38:J42">
    <cfRule type="cellIs" dxfId="2" priority="1" operator="equal">
      <formula>"Protection"</formula>
    </cfRule>
    <cfRule type="cellIs" dxfId="1" priority="2" operator="equal">
      <formula>"Feedforward"</formula>
    </cfRule>
    <cfRule type="cellIs" dxfId="0" priority="3" operator="equal">
      <formula>"Control"</formula>
    </cfRule>
  </conditionalFormatting>
  <pageMargins left="0.7" right="0.7" top="0.78740157499999996" bottom="0.78740157499999996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EFC0-842C-4E2C-9ADD-C61BC67F662B}">
  <dimension ref="A1:E13"/>
  <sheetViews>
    <sheetView workbookViewId="0">
      <selection activeCell="A2" sqref="A2"/>
    </sheetView>
  </sheetViews>
  <sheetFormatPr baseColWidth="10" defaultRowHeight="15" x14ac:dyDescent="0.25"/>
  <cols>
    <col min="2" max="2" width="15.85546875" bestFit="1" customWidth="1"/>
    <col min="3" max="3" width="22.140625" bestFit="1" customWidth="1"/>
    <col min="4" max="4" width="14.85546875" bestFit="1" customWidth="1"/>
  </cols>
  <sheetData>
    <row r="1" spans="1:5" x14ac:dyDescent="0.25">
      <c r="A1" t="s">
        <v>76</v>
      </c>
      <c r="B1" t="s">
        <v>158</v>
      </c>
      <c r="C1" t="s">
        <v>169</v>
      </c>
      <c r="D1" t="s">
        <v>170</v>
      </c>
      <c r="E1" t="s">
        <v>161</v>
      </c>
    </row>
    <row r="2" spans="1:5" x14ac:dyDescent="0.25">
      <c r="A2" t="s">
        <v>173</v>
      </c>
      <c r="B2" t="s">
        <v>159</v>
      </c>
      <c r="C2" t="s">
        <v>25</v>
      </c>
      <c r="D2" t="s">
        <v>174</v>
      </c>
      <c r="E2" t="s">
        <v>175</v>
      </c>
    </row>
    <row r="3" spans="1:5" x14ac:dyDescent="0.25">
      <c r="A3" t="s">
        <v>153</v>
      </c>
      <c r="B3" t="s">
        <v>159</v>
      </c>
      <c r="C3" t="s">
        <v>25</v>
      </c>
      <c r="D3" t="s">
        <v>172</v>
      </c>
      <c r="E3" t="s">
        <v>162</v>
      </c>
    </row>
    <row r="4" spans="1:5" x14ac:dyDescent="0.25">
      <c r="A4" t="s">
        <v>154</v>
      </c>
      <c r="B4" t="s">
        <v>160</v>
      </c>
      <c r="C4" t="s">
        <v>25</v>
      </c>
      <c r="D4" t="s">
        <v>172</v>
      </c>
      <c r="E4" t="s">
        <v>162</v>
      </c>
    </row>
    <row r="5" spans="1:5" x14ac:dyDescent="0.25">
      <c r="A5" t="s">
        <v>155</v>
      </c>
      <c r="B5" t="s">
        <v>159</v>
      </c>
      <c r="C5" t="s">
        <v>25</v>
      </c>
      <c r="D5" t="s">
        <v>172</v>
      </c>
      <c r="E5" t="s">
        <v>162</v>
      </c>
    </row>
    <row r="6" spans="1:5" x14ac:dyDescent="0.25">
      <c r="A6" t="s">
        <v>156</v>
      </c>
      <c r="B6" t="s">
        <v>160</v>
      </c>
      <c r="C6" t="s">
        <v>25</v>
      </c>
      <c r="D6" t="s">
        <v>172</v>
      </c>
      <c r="E6" t="s">
        <v>162</v>
      </c>
    </row>
    <row r="7" spans="1:5" x14ac:dyDescent="0.25">
      <c r="A7" t="s">
        <v>157</v>
      </c>
      <c r="B7" t="s">
        <v>160</v>
      </c>
      <c r="C7" t="s">
        <v>25</v>
      </c>
      <c r="D7" t="s">
        <v>172</v>
      </c>
      <c r="E7" t="s">
        <v>162</v>
      </c>
    </row>
    <row r="8" spans="1:5" x14ac:dyDescent="0.25">
      <c r="A8" t="s">
        <v>163</v>
      </c>
      <c r="B8" t="s">
        <v>159</v>
      </c>
      <c r="C8" t="s">
        <v>24</v>
      </c>
      <c r="D8" t="s">
        <v>171</v>
      </c>
      <c r="E8" t="s">
        <v>168</v>
      </c>
    </row>
    <row r="9" spans="1:5" x14ac:dyDescent="0.25">
      <c r="A9" t="s">
        <v>164</v>
      </c>
      <c r="B9" t="s">
        <v>159</v>
      </c>
      <c r="C9" t="s">
        <v>24</v>
      </c>
      <c r="D9" t="s">
        <v>171</v>
      </c>
      <c r="E9" t="s">
        <v>168</v>
      </c>
    </row>
    <row r="10" spans="1:5" x14ac:dyDescent="0.25">
      <c r="A10" t="s">
        <v>165</v>
      </c>
      <c r="B10" t="s">
        <v>159</v>
      </c>
      <c r="C10" t="s">
        <v>24</v>
      </c>
      <c r="D10" t="s">
        <v>171</v>
      </c>
      <c r="E10" t="s">
        <v>168</v>
      </c>
    </row>
    <row r="11" spans="1:5" x14ac:dyDescent="0.25">
      <c r="A11" t="s">
        <v>153</v>
      </c>
      <c r="B11" t="s">
        <v>159</v>
      </c>
      <c r="C11" t="s">
        <v>24</v>
      </c>
      <c r="D11" t="s">
        <v>171</v>
      </c>
      <c r="E11" t="s">
        <v>168</v>
      </c>
    </row>
    <row r="12" spans="1:5" x14ac:dyDescent="0.25">
      <c r="A12" t="s">
        <v>166</v>
      </c>
      <c r="B12" t="s">
        <v>159</v>
      </c>
      <c r="C12" t="s">
        <v>24</v>
      </c>
      <c r="D12" t="s">
        <v>171</v>
      </c>
      <c r="E12" t="s">
        <v>168</v>
      </c>
    </row>
    <row r="13" spans="1:5" x14ac:dyDescent="0.25">
      <c r="A13" t="s">
        <v>167</v>
      </c>
      <c r="B13" t="s">
        <v>159</v>
      </c>
      <c r="C13" t="s">
        <v>24</v>
      </c>
      <c r="D13" t="s">
        <v>171</v>
      </c>
      <c r="E13" t="s">
        <v>168</v>
      </c>
    </row>
  </sheetData>
  <phoneticPr fontId="2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DADC-115D-4B61-ADB4-956569A4F367}">
  <dimension ref="A1:D101"/>
  <sheetViews>
    <sheetView workbookViewId="0">
      <pane ySplit="1" topLeftCell="A30" activePane="bottomLeft" state="frozen"/>
      <selection pane="bottomLeft" activeCell="C48" sqref="C48"/>
    </sheetView>
  </sheetViews>
  <sheetFormatPr baseColWidth="10" defaultRowHeight="15" x14ac:dyDescent="0.25"/>
  <cols>
    <col min="3" max="3" width="20.7109375" bestFit="1" customWidth="1"/>
  </cols>
  <sheetData>
    <row r="1" spans="1:4" x14ac:dyDescent="0.25">
      <c r="A1" t="s">
        <v>176</v>
      </c>
      <c r="B1" t="s">
        <v>76</v>
      </c>
      <c r="C1" t="s">
        <v>161</v>
      </c>
      <c r="D1" t="s">
        <v>62</v>
      </c>
    </row>
    <row r="2" spans="1:4" x14ac:dyDescent="0.25">
      <c r="A2">
        <v>1</v>
      </c>
      <c r="B2" t="s">
        <v>177</v>
      </c>
    </row>
    <row r="3" spans="1:4" x14ac:dyDescent="0.25">
      <c r="A3">
        <v>2</v>
      </c>
      <c r="B3" t="s">
        <v>178</v>
      </c>
    </row>
    <row r="4" spans="1:4" x14ac:dyDescent="0.25">
      <c r="A4">
        <v>3</v>
      </c>
      <c r="B4" t="s">
        <v>179</v>
      </c>
    </row>
    <row r="5" spans="1:4" x14ac:dyDescent="0.25">
      <c r="A5">
        <v>4</v>
      </c>
      <c r="B5" t="s">
        <v>180</v>
      </c>
    </row>
    <row r="6" spans="1:4" x14ac:dyDescent="0.25">
      <c r="A6">
        <v>5</v>
      </c>
      <c r="B6" t="s">
        <v>181</v>
      </c>
    </row>
    <row r="7" spans="1:4" x14ac:dyDescent="0.25">
      <c r="A7">
        <v>6</v>
      </c>
      <c r="B7" t="s">
        <v>182</v>
      </c>
    </row>
    <row r="8" spans="1:4" x14ac:dyDescent="0.25">
      <c r="A8">
        <v>7</v>
      </c>
      <c r="B8" t="s">
        <v>173</v>
      </c>
      <c r="C8" t="s">
        <v>258</v>
      </c>
    </row>
    <row r="9" spans="1:4" x14ac:dyDescent="0.25">
      <c r="A9">
        <v>8</v>
      </c>
      <c r="B9" t="s">
        <v>186</v>
      </c>
    </row>
    <row r="10" spans="1:4" x14ac:dyDescent="0.25">
      <c r="A10">
        <v>9</v>
      </c>
      <c r="B10" t="s">
        <v>187</v>
      </c>
    </row>
    <row r="11" spans="1:4" x14ac:dyDescent="0.25">
      <c r="A11">
        <v>10</v>
      </c>
      <c r="B11" t="s">
        <v>183</v>
      </c>
    </row>
    <row r="12" spans="1:4" x14ac:dyDescent="0.25">
      <c r="A12">
        <v>11</v>
      </c>
      <c r="B12" t="s">
        <v>184</v>
      </c>
    </row>
    <row r="13" spans="1:4" x14ac:dyDescent="0.25">
      <c r="A13">
        <v>12</v>
      </c>
      <c r="B13" t="s">
        <v>185</v>
      </c>
    </row>
    <row r="14" spans="1:4" x14ac:dyDescent="0.25">
      <c r="A14">
        <v>13</v>
      </c>
      <c r="B14" t="s">
        <v>188</v>
      </c>
    </row>
    <row r="15" spans="1:4" x14ac:dyDescent="0.25">
      <c r="A15">
        <v>14</v>
      </c>
      <c r="B15" t="s">
        <v>189</v>
      </c>
    </row>
    <row r="16" spans="1:4" x14ac:dyDescent="0.25">
      <c r="A16">
        <v>15</v>
      </c>
      <c r="B16" t="s">
        <v>190</v>
      </c>
    </row>
    <row r="17" spans="1:2" x14ac:dyDescent="0.25">
      <c r="A17">
        <v>16</v>
      </c>
      <c r="B17" t="s">
        <v>191</v>
      </c>
    </row>
    <row r="18" spans="1:2" x14ac:dyDescent="0.25">
      <c r="A18">
        <v>17</v>
      </c>
      <c r="B18" t="s">
        <v>192</v>
      </c>
    </row>
    <row r="19" spans="1:2" x14ac:dyDescent="0.25">
      <c r="A19">
        <v>18</v>
      </c>
      <c r="B19" t="s">
        <v>193</v>
      </c>
    </row>
    <row r="20" spans="1:2" x14ac:dyDescent="0.25">
      <c r="A20">
        <v>19</v>
      </c>
      <c r="B20" t="s">
        <v>194</v>
      </c>
    </row>
    <row r="21" spans="1:2" x14ac:dyDescent="0.25">
      <c r="A21">
        <v>20</v>
      </c>
      <c r="B21" t="s">
        <v>195</v>
      </c>
    </row>
    <row r="22" spans="1:2" x14ac:dyDescent="0.25">
      <c r="A22">
        <v>21</v>
      </c>
      <c r="B22" t="s">
        <v>167</v>
      </c>
    </row>
    <row r="23" spans="1:2" x14ac:dyDescent="0.25">
      <c r="A23">
        <v>22</v>
      </c>
      <c r="B23" t="s">
        <v>196</v>
      </c>
    </row>
    <row r="24" spans="1:2" x14ac:dyDescent="0.25">
      <c r="A24">
        <v>23</v>
      </c>
      <c r="B24" t="s">
        <v>197</v>
      </c>
    </row>
    <row r="25" spans="1:2" x14ac:dyDescent="0.25">
      <c r="A25">
        <v>24</v>
      </c>
      <c r="B25" t="s">
        <v>198</v>
      </c>
    </row>
    <row r="26" spans="1:2" x14ac:dyDescent="0.25">
      <c r="A26">
        <v>25</v>
      </c>
      <c r="B26" t="s">
        <v>163</v>
      </c>
    </row>
    <row r="27" spans="1:2" x14ac:dyDescent="0.25">
      <c r="A27">
        <v>26</v>
      </c>
      <c r="B27" t="s">
        <v>199</v>
      </c>
    </row>
    <row r="28" spans="1:2" x14ac:dyDescent="0.25">
      <c r="A28">
        <v>27</v>
      </c>
      <c r="B28" t="s">
        <v>164</v>
      </c>
    </row>
    <row r="29" spans="1:2" x14ac:dyDescent="0.25">
      <c r="A29">
        <v>28</v>
      </c>
      <c r="B29" t="s">
        <v>200</v>
      </c>
    </row>
    <row r="30" spans="1:2" x14ac:dyDescent="0.25">
      <c r="A30">
        <v>29</v>
      </c>
      <c r="B30" t="s">
        <v>201</v>
      </c>
    </row>
    <row r="31" spans="1:2" x14ac:dyDescent="0.25">
      <c r="A31">
        <v>30</v>
      </c>
      <c r="B31" t="s">
        <v>202</v>
      </c>
    </row>
    <row r="32" spans="1:2" x14ac:dyDescent="0.25">
      <c r="A32">
        <v>31</v>
      </c>
      <c r="B32" t="s">
        <v>203</v>
      </c>
    </row>
    <row r="33" spans="1:3" x14ac:dyDescent="0.25">
      <c r="A33">
        <v>32</v>
      </c>
      <c r="B33" t="s">
        <v>204</v>
      </c>
    </row>
    <row r="34" spans="1:3" x14ac:dyDescent="0.25">
      <c r="A34">
        <v>33</v>
      </c>
      <c r="B34" t="s">
        <v>205</v>
      </c>
    </row>
    <row r="35" spans="1:3" x14ac:dyDescent="0.25">
      <c r="A35">
        <v>34</v>
      </c>
      <c r="B35" t="s">
        <v>165</v>
      </c>
    </row>
    <row r="36" spans="1:3" x14ac:dyDescent="0.25">
      <c r="A36">
        <v>35</v>
      </c>
      <c r="B36" t="s">
        <v>206</v>
      </c>
    </row>
    <row r="37" spans="1:3" x14ac:dyDescent="0.25">
      <c r="A37">
        <v>36</v>
      </c>
      <c r="B37" t="s">
        <v>207</v>
      </c>
    </row>
    <row r="38" spans="1:3" x14ac:dyDescent="0.25">
      <c r="A38">
        <v>37</v>
      </c>
      <c r="B38" t="s">
        <v>208</v>
      </c>
    </row>
    <row r="39" spans="1:3" x14ac:dyDescent="0.25">
      <c r="A39">
        <v>38</v>
      </c>
      <c r="B39" t="s">
        <v>209</v>
      </c>
    </row>
    <row r="40" spans="1:3" x14ac:dyDescent="0.25">
      <c r="A40">
        <v>39</v>
      </c>
      <c r="B40" t="s">
        <v>210</v>
      </c>
    </row>
    <row r="41" spans="1:3" x14ac:dyDescent="0.25">
      <c r="A41">
        <v>40</v>
      </c>
      <c r="B41" t="s">
        <v>211</v>
      </c>
    </row>
    <row r="42" spans="1:3" x14ac:dyDescent="0.25">
      <c r="A42">
        <v>41</v>
      </c>
      <c r="B42" t="s">
        <v>212</v>
      </c>
    </row>
    <row r="43" spans="1:3" x14ac:dyDescent="0.25">
      <c r="A43">
        <v>42</v>
      </c>
      <c r="B43" t="s">
        <v>213</v>
      </c>
    </row>
    <row r="44" spans="1:3" x14ac:dyDescent="0.25">
      <c r="A44">
        <v>43</v>
      </c>
      <c r="B44" t="s">
        <v>214</v>
      </c>
    </row>
    <row r="45" spans="1:3" x14ac:dyDescent="0.25">
      <c r="A45">
        <v>44</v>
      </c>
      <c r="B45" t="s">
        <v>215</v>
      </c>
    </row>
    <row r="46" spans="1:3" x14ac:dyDescent="0.25">
      <c r="A46">
        <v>45</v>
      </c>
      <c r="B46" t="s">
        <v>216</v>
      </c>
    </row>
    <row r="47" spans="1:3" x14ac:dyDescent="0.25">
      <c r="A47">
        <v>46</v>
      </c>
      <c r="B47" t="s">
        <v>217</v>
      </c>
    </row>
    <row r="48" spans="1:3" x14ac:dyDescent="0.25">
      <c r="A48">
        <v>47</v>
      </c>
      <c r="B48" t="s">
        <v>153</v>
      </c>
      <c r="C48" t="s">
        <v>259</v>
      </c>
    </row>
    <row r="49" spans="1:3" x14ac:dyDescent="0.25">
      <c r="A49">
        <v>48</v>
      </c>
      <c r="B49" t="s">
        <v>197</v>
      </c>
    </row>
    <row r="50" spans="1:3" x14ac:dyDescent="0.25">
      <c r="A50">
        <v>49</v>
      </c>
      <c r="B50" t="s">
        <v>198</v>
      </c>
    </row>
    <row r="51" spans="1:3" x14ac:dyDescent="0.25">
      <c r="A51">
        <v>50</v>
      </c>
      <c r="B51" t="s">
        <v>154</v>
      </c>
      <c r="C51" t="s">
        <v>259</v>
      </c>
    </row>
    <row r="52" spans="1:3" x14ac:dyDescent="0.25">
      <c r="A52">
        <v>51</v>
      </c>
      <c r="B52" t="s">
        <v>218</v>
      </c>
    </row>
    <row r="53" spans="1:3" x14ac:dyDescent="0.25">
      <c r="A53">
        <v>52</v>
      </c>
      <c r="B53" t="s">
        <v>155</v>
      </c>
      <c r="C53" t="s">
        <v>259</v>
      </c>
    </row>
    <row r="54" spans="1:3" x14ac:dyDescent="0.25">
      <c r="A54">
        <v>53</v>
      </c>
      <c r="B54" t="s">
        <v>156</v>
      </c>
      <c r="C54" t="s">
        <v>259</v>
      </c>
    </row>
    <row r="55" spans="1:3" x14ac:dyDescent="0.25">
      <c r="A55">
        <v>54</v>
      </c>
      <c r="B55" t="s">
        <v>166</v>
      </c>
    </row>
    <row r="56" spans="1:3" x14ac:dyDescent="0.25">
      <c r="A56">
        <v>55</v>
      </c>
      <c r="B56" t="s">
        <v>219</v>
      </c>
    </row>
    <row r="57" spans="1:3" x14ac:dyDescent="0.25">
      <c r="A57">
        <v>56</v>
      </c>
      <c r="B57" t="s">
        <v>220</v>
      </c>
    </row>
    <row r="58" spans="1:3" x14ac:dyDescent="0.25">
      <c r="A58">
        <v>57</v>
      </c>
      <c r="B58" t="s">
        <v>221</v>
      </c>
    </row>
    <row r="59" spans="1:3" x14ac:dyDescent="0.25">
      <c r="A59">
        <v>58</v>
      </c>
      <c r="B59" t="s">
        <v>222</v>
      </c>
    </row>
    <row r="60" spans="1:3" x14ac:dyDescent="0.25">
      <c r="A60">
        <v>59</v>
      </c>
      <c r="B60" t="s">
        <v>223</v>
      </c>
    </row>
    <row r="61" spans="1:3" x14ac:dyDescent="0.25">
      <c r="A61">
        <v>60</v>
      </c>
      <c r="B61" t="s">
        <v>224</v>
      </c>
    </row>
    <row r="62" spans="1:3" x14ac:dyDescent="0.25">
      <c r="A62">
        <v>61</v>
      </c>
      <c r="B62" t="s">
        <v>157</v>
      </c>
      <c r="C62" t="s">
        <v>259</v>
      </c>
    </row>
    <row r="63" spans="1:3" x14ac:dyDescent="0.25">
      <c r="A63">
        <v>62</v>
      </c>
      <c r="B63" t="s">
        <v>225</v>
      </c>
    </row>
    <row r="64" spans="1:3" x14ac:dyDescent="0.25">
      <c r="A64">
        <v>63</v>
      </c>
      <c r="B64" t="s">
        <v>197</v>
      </c>
    </row>
    <row r="65" spans="1:2" x14ac:dyDescent="0.25">
      <c r="A65">
        <v>64</v>
      </c>
      <c r="B65" t="s">
        <v>198</v>
      </c>
    </row>
    <row r="66" spans="1:2" x14ac:dyDescent="0.25">
      <c r="A66">
        <v>65</v>
      </c>
      <c r="B66" t="s">
        <v>226</v>
      </c>
    </row>
    <row r="67" spans="1:2" x14ac:dyDescent="0.25">
      <c r="A67">
        <v>66</v>
      </c>
      <c r="B67" t="s">
        <v>227</v>
      </c>
    </row>
    <row r="68" spans="1:2" x14ac:dyDescent="0.25">
      <c r="A68">
        <v>67</v>
      </c>
      <c r="B68" t="s">
        <v>228</v>
      </c>
    </row>
    <row r="69" spans="1:2" x14ac:dyDescent="0.25">
      <c r="A69">
        <v>68</v>
      </c>
      <c r="B69" t="s">
        <v>229</v>
      </c>
    </row>
    <row r="70" spans="1:2" x14ac:dyDescent="0.25">
      <c r="A70">
        <v>69</v>
      </c>
      <c r="B70" t="s">
        <v>230</v>
      </c>
    </row>
    <row r="71" spans="1:2" x14ac:dyDescent="0.25">
      <c r="A71">
        <v>70</v>
      </c>
      <c r="B71" t="s">
        <v>231</v>
      </c>
    </row>
    <row r="72" spans="1:2" x14ac:dyDescent="0.25">
      <c r="A72">
        <v>71</v>
      </c>
      <c r="B72" t="s">
        <v>232</v>
      </c>
    </row>
    <row r="73" spans="1:2" x14ac:dyDescent="0.25">
      <c r="A73">
        <v>72</v>
      </c>
      <c r="B73" t="s">
        <v>233</v>
      </c>
    </row>
    <row r="74" spans="1:2" x14ac:dyDescent="0.25">
      <c r="A74">
        <v>73</v>
      </c>
      <c r="B74" t="s">
        <v>234</v>
      </c>
    </row>
    <row r="75" spans="1:2" x14ac:dyDescent="0.25">
      <c r="A75">
        <v>74</v>
      </c>
      <c r="B75" t="s">
        <v>197</v>
      </c>
    </row>
    <row r="76" spans="1:2" x14ac:dyDescent="0.25">
      <c r="A76">
        <v>75</v>
      </c>
      <c r="B76" t="s">
        <v>198</v>
      </c>
    </row>
    <row r="77" spans="1:2" x14ac:dyDescent="0.25">
      <c r="A77">
        <v>76</v>
      </c>
      <c r="B77" t="s">
        <v>235</v>
      </c>
    </row>
    <row r="78" spans="1:2" x14ac:dyDescent="0.25">
      <c r="A78">
        <v>77</v>
      </c>
      <c r="B78" t="s">
        <v>236</v>
      </c>
    </row>
    <row r="79" spans="1:2" x14ac:dyDescent="0.25">
      <c r="A79">
        <v>78</v>
      </c>
      <c r="B79" t="s">
        <v>237</v>
      </c>
    </row>
    <row r="80" spans="1:2" x14ac:dyDescent="0.25">
      <c r="A80">
        <v>79</v>
      </c>
      <c r="B80" t="s">
        <v>238</v>
      </c>
    </row>
    <row r="81" spans="1:2" x14ac:dyDescent="0.25">
      <c r="A81">
        <v>80</v>
      </c>
      <c r="B81" t="s">
        <v>239</v>
      </c>
    </row>
    <row r="82" spans="1:2" x14ac:dyDescent="0.25">
      <c r="A82">
        <v>81</v>
      </c>
      <c r="B82" t="s">
        <v>240</v>
      </c>
    </row>
    <row r="83" spans="1:2" x14ac:dyDescent="0.25">
      <c r="A83">
        <v>82</v>
      </c>
      <c r="B83" t="s">
        <v>241</v>
      </c>
    </row>
    <row r="84" spans="1:2" x14ac:dyDescent="0.25">
      <c r="A84">
        <v>83</v>
      </c>
      <c r="B84" t="s">
        <v>242</v>
      </c>
    </row>
    <row r="85" spans="1:2" x14ac:dyDescent="0.25">
      <c r="A85">
        <v>84</v>
      </c>
      <c r="B85" t="s">
        <v>243</v>
      </c>
    </row>
    <row r="86" spans="1:2" x14ac:dyDescent="0.25">
      <c r="A86">
        <v>85</v>
      </c>
      <c r="B86" t="s">
        <v>244</v>
      </c>
    </row>
    <row r="87" spans="1:2" x14ac:dyDescent="0.25">
      <c r="A87">
        <v>86</v>
      </c>
      <c r="B87" t="s">
        <v>245</v>
      </c>
    </row>
    <row r="88" spans="1:2" x14ac:dyDescent="0.25">
      <c r="A88">
        <v>87</v>
      </c>
      <c r="B88" t="s">
        <v>246</v>
      </c>
    </row>
    <row r="89" spans="1:2" x14ac:dyDescent="0.25">
      <c r="A89">
        <v>88</v>
      </c>
      <c r="B89" t="s">
        <v>247</v>
      </c>
    </row>
    <row r="90" spans="1:2" x14ac:dyDescent="0.25">
      <c r="A90">
        <v>89</v>
      </c>
      <c r="B90" t="s">
        <v>248</v>
      </c>
    </row>
    <row r="91" spans="1:2" x14ac:dyDescent="0.25">
      <c r="A91">
        <v>90</v>
      </c>
      <c r="B91" t="s">
        <v>249</v>
      </c>
    </row>
    <row r="92" spans="1:2" x14ac:dyDescent="0.25">
      <c r="A92">
        <v>91</v>
      </c>
      <c r="B92" t="s">
        <v>250</v>
      </c>
    </row>
    <row r="93" spans="1:2" x14ac:dyDescent="0.25">
      <c r="A93">
        <v>92</v>
      </c>
      <c r="B93" t="s">
        <v>251</v>
      </c>
    </row>
    <row r="94" spans="1:2" x14ac:dyDescent="0.25">
      <c r="A94">
        <v>93</v>
      </c>
      <c r="B94" t="s">
        <v>252</v>
      </c>
    </row>
    <row r="95" spans="1:2" x14ac:dyDescent="0.25">
      <c r="A95">
        <v>94</v>
      </c>
      <c r="B95" t="s">
        <v>253</v>
      </c>
    </row>
    <row r="96" spans="1:2" x14ac:dyDescent="0.25">
      <c r="A96">
        <v>95</v>
      </c>
      <c r="B96" t="s">
        <v>254</v>
      </c>
    </row>
    <row r="97" spans="1:2" x14ac:dyDescent="0.25">
      <c r="A97">
        <v>96</v>
      </c>
      <c r="B97" t="s">
        <v>255</v>
      </c>
    </row>
    <row r="98" spans="1:2" x14ac:dyDescent="0.25">
      <c r="A98">
        <v>97</v>
      </c>
      <c r="B98" t="s">
        <v>256</v>
      </c>
    </row>
    <row r="99" spans="1:2" x14ac:dyDescent="0.25">
      <c r="A99">
        <v>98</v>
      </c>
      <c r="B99" t="s">
        <v>257</v>
      </c>
    </row>
    <row r="100" spans="1:2" x14ac:dyDescent="0.25">
      <c r="A100">
        <v>99</v>
      </c>
      <c r="B100" t="s">
        <v>197</v>
      </c>
    </row>
    <row r="101" spans="1:2" x14ac:dyDescent="0.25">
      <c r="A101">
        <v>100</v>
      </c>
      <c r="B101" t="s">
        <v>198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Functions</vt:lpstr>
      <vt:lpstr>Timer</vt:lpstr>
      <vt:lpstr>UART</vt:lpstr>
      <vt:lpstr>ADC index B</vt:lpstr>
      <vt:lpstr>ADC Index C</vt:lpstr>
      <vt:lpstr>Restricted GPIOs</vt:lpstr>
      <vt:lpstr>GPIOs QFP100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cp:lastPrinted>2026-01-26T15:50:35Z</cp:lastPrinted>
  <dcterms:created xsi:type="dcterms:W3CDTF">2025-11-11T07:19:51Z</dcterms:created>
  <dcterms:modified xsi:type="dcterms:W3CDTF">2026-09-04T11:59:56Z</dcterms:modified>
</cp:coreProperties>
</file>